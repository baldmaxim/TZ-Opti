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kuzmin.a.a\Desktop\"/>
    </mc:Choice>
  </mc:AlternateContent>
  <xr:revisionPtr revIDLastSave="0" documentId="13_ncr:1_{B2CFAE7E-8EAC-4621-BCAB-43A9592FA0E9}" xr6:coauthVersionLast="47" xr6:coauthVersionMax="47" xr10:uidLastSave="{00000000-0000-0000-0000-000000000000}"/>
  <bookViews>
    <workbookView xWindow="-120" yWindow="-120" windowWidth="29040" windowHeight="15720" activeTab="1" xr2:uid="{00000000-000D-0000-FFFF-FFFF00000000}"/>
  </bookViews>
  <sheets>
    <sheet name="Осн. параметры " sheetId="4" r:id="rId1"/>
    <sheet name="Сущ. условия Генподряд" sheetId="2" r:id="rId2"/>
    <sheet name="Сущ. условия Подряд" sheetId="7" r:id="rId3"/>
    <sheet name="Сущ. условия  (текст)"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8" i="7" l="1"/>
  <c r="C10" i="7"/>
  <c r="E40" i="3"/>
  <c r="E44" i="3"/>
  <c r="E42" i="3"/>
  <c r="C9" i="7" a="1"/>
  <c r="C9" i="7" s="1"/>
  <c r="E36" i="3"/>
  <c r="E35" i="3"/>
  <c r="C8" i="7" s="1" a="1"/>
  <c r="C8" i="7" s="1"/>
  <c r="E4" i="3"/>
  <c r="C34" i="2"/>
  <c r="C9" i="2" a="1"/>
  <c r="C9" i="2" s="1"/>
  <c r="E24" i="3"/>
  <c r="E22" i="3"/>
  <c r="E26" i="3" s="1"/>
  <c r="E20" i="3"/>
  <c r="C12" i="2" s="1"/>
  <c r="F11" i="3"/>
  <c r="F10" i="3"/>
  <c r="F9" i="3"/>
  <c r="F8" i="3"/>
  <c r="F7" i="3"/>
  <c r="F6" i="3"/>
  <c r="C10" i="2" s="1" a="1"/>
  <c r="C10" i="2" s="1"/>
  <c r="E5" i="3"/>
  <c r="C11" i="2" s="1" a="1"/>
  <c r="C11" i="2" s="1"/>
  <c r="E4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<sst xmlns="http://schemas.openxmlformats.org/spreadsheetml/2006/main" count="175" uniqueCount="124">
  <si>
    <t>Условия изменения договорной цены</t>
  </si>
  <si>
    <t>Компенсация роста стоимости материалов</t>
  </si>
  <si>
    <t>БСМ0%</t>
  </si>
  <si>
    <t>БСМ5%</t>
  </si>
  <si>
    <t>Инфляция 0%</t>
  </si>
  <si>
    <t>Инфляция 5%</t>
  </si>
  <si>
    <t>Инфляция 0% + БСМ 0%</t>
  </si>
  <si>
    <t>Инфляция 0% + БСМ 5%</t>
  </si>
  <si>
    <t>Инфляция 5% + БСМ 0%</t>
  </si>
  <si>
    <t>Инфляция 5% + БСМ 5%</t>
  </si>
  <si>
    <t xml:space="preserve">Компенсация роста стоимости материалов выполняется по следующиму механизму:
Механизм компенсации стоимости Работ заключается в индексации цены договора на уровень накопленной инфляции, превышающей 5%. Накопленная инфляция рассчитывается на основе ежемесячных индексов цен на строительные материалы, публикуемых Росстатом, начиная с даты первой подачи КП. Индексация применяется к общей стоимости, выполненных и принятых Работ по актам КС-2 , начиная с месяца в котором накопленная инфляция превысила 5%. </t>
  </si>
  <si>
    <t xml:space="preserve">Компенсация роста стоимости материалов выполняется по следующиму механизму:
Механизм компенсации стоимости Работ заключается в индексации цены договора на уровень накопленной инфляции, превышающей 0%. Накопленная инфляция рассчитывается на основе ежемесячных индексов цен на строительные материалы, публикуемых Росстатом, начиная с даты первой подачи КП. Индексация применяется к общей стоимости, выполненных и принятых Работ по актам КС-2 , начиная с месяца в котором накопленная инфляция превысила 0%. </t>
  </si>
  <si>
    <t>Компенсация роста стоимости материалов выполняется по следующиму механизму:
   Механизм компенсации стоимости Работ заключается в индексации цены договора на уровень накопленной инфляции, превышающей 0%. Накопленная инфляция рассчитывается на основе ежемесячных индексов цен на строительные материалы, публикуемых Росстатом, начиная с даты первой подачи КП. Индексация применяется к общей стоимости, выполненных и принятых Работ по актам КС-2 , начиная с месяца в котором накопленная инфляция превысила 0%. 
   В случае значительного роста стоимости волатильных материалов (перечень БСМ - Приложение №5), который не перекрывается коэффициентом инфляции, Генподрядчик может подать отдельный расчёт удорожания, согласно методике (Приложение №4), корректируя его с учётом накопленного процента инфляции. Подрядчик самостоятельно рассчитывает ежемесячно накопленную инфляцию и направляет расчёт заказчику для утверждения. Заказчик рассматривает расчёт и, при отсутствии замечаний, подписывает его, после чего стороны заключают дополнительное соглашение об изменении цены договора, но не чаще 1-ого раза в квартал.</t>
  </si>
  <si>
    <t>Компенсация роста стоимости материалов выполняется по следующиму механизму:
Механизм компенсации стоимости Работ заключается в индексации цены договора на уровень накопленной инфляции, превышающей 5%. Накопленная инфляция рассчитывается на основе ежемесячных индексов цен на строительные материалы, публикуемых Росстатом, начиная с даты первой подачи КП. Индексация применяется к общей стоимости, выполненных и принятых Работ по актам КС-2 , начиная с месяца в котором накопленная инфляция превысила 5%. 
В случае значительного роста стоимости волатильных материалов (перечень БСМ - Приложение №5), который не перекрывается коэффициентом инфляции, Генподрядчик может подать отдельный расчёт удорожания, согласно методике (Приложение №4), корректируя его с учётом накопленного процента инфляции. Подрядчик самостоятельно рассчитывает ежемесячно накопленную инфляцию и направляет расчёт заказчику для утверждения. Заказчик рассматривает расчёт и, при отсутствии замечаний, подписывает его, после чего стороны заключают дополнительное соглашение об изменении цены договора, но не чаще 1-ого раза в квартал.</t>
  </si>
  <si>
    <t>1. Рост стоимости материалов более 5%. Компенсация производится с 6-ого процента.
2.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3.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t>
  </si>
  <si>
    <t>Работа</t>
  </si>
  <si>
    <t>Коробка</t>
  </si>
  <si>
    <t>Генподряд</t>
  </si>
  <si>
    <t xml:space="preserve">Условия изменения цены </t>
  </si>
  <si>
    <t>1. Рост стоимости материалов более 0%. Компенсация производится с 1-ого процента.
2.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3.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t>
  </si>
  <si>
    <t>Авансы</t>
  </si>
  <si>
    <t>Общий аванс - 30%. 
Допустимо 5% на аванс под БГ и 25% по распред. письмам за материалы без БГ.
Аванс 5% выплачиваются на обычный расчетный счет с предоставлением Банковской гарантии.</t>
  </si>
  <si>
    <t>Аванс 30%</t>
  </si>
  <si>
    <t xml:space="preserve">Аванс 40% </t>
  </si>
  <si>
    <t>Общий аванс - 40%. 
Допустимо 5% на аванс под БГ и 35% по распред. письмам за материалы без БГ.
Аванс 5% выплачиваются на обычный расчетный счет с предоставлением Банковской гарантии.</t>
  </si>
  <si>
    <t>Общий аванс – 40-60%. Допустимо до 10% без БГ на расчетный счет Генподрядчика и 30-50% по распред. письмам поставщикам/подрядчикам.</t>
  </si>
  <si>
    <t>Донстрой</t>
  </si>
  <si>
    <t xml:space="preserve">Иной </t>
  </si>
  <si>
    <t xml:space="preserve">Аванс </t>
  </si>
  <si>
    <t>Порядок устранения выявленных недостатков/дефектов</t>
  </si>
  <si>
    <t>Заказчик обязан соблюдать установленный Договором порядок устранения выявленных недостатков/дефектов силами Генподрядчика. В случае нарушения установленного порядка со стороны Заказчика либо третьих лиц (участников долевого строительства), расходы Заказчика на устранение недостатков/дефектов (возмещение Заказчиком затрат участникам долевого строительства) Генподрядчик не компенсирует.</t>
  </si>
  <si>
    <t>Инструкция по эксплуатации Здания</t>
  </si>
  <si>
    <r>
      <t xml:space="preserve">Генеральный подрядчик предоставляет инструкцию по эксплуатации здания </t>
    </r>
    <r>
      <rPr>
        <b/>
        <sz val="12"/>
        <color theme="1"/>
        <rFont val="Times New Roman"/>
        <family val="1"/>
        <charset val="204"/>
      </rPr>
      <t>(Приложение №6)</t>
    </r>
    <r>
      <rPr>
        <sz val="12"/>
        <color theme="1"/>
        <rFont val="Times New Roman"/>
        <family val="1"/>
        <charset val="204"/>
      </rPr>
      <t>. После ввода объекта в эксплуатацию, управляющая компания обязана строго следовать указанным в инструкции рекомендациям и правилам. В случае нарушения управляющей компанией условий эксплуатации, предусмотренных в инструкции, ответственность за возможные последствия, включая аннулирование гарантий на объект, переходит на управляющую компанию</t>
    </r>
    <r>
      <rPr>
        <sz val="12"/>
        <rFont val="Times New Roman"/>
        <family val="1"/>
        <charset val="204"/>
      </rPr>
      <t>.</t>
    </r>
  </si>
  <si>
    <t>Коммунальные платежи и содержание стройплощадки</t>
  </si>
  <si>
    <t>Ед. измерения в сметной документации</t>
  </si>
  <si>
    <t>Сметы составляются с ед. измерения этажи/секции или комплексом работ.</t>
  </si>
  <si>
    <t>Цена Договора</t>
  </si>
  <si>
    <t>Сроки выполнения работ</t>
  </si>
  <si>
    <t>Предлагаемые условия СУ-10</t>
  </si>
  <si>
    <t xml:space="preserve">Комментарии Заказчика </t>
  </si>
  <si>
    <t>№</t>
  </si>
  <si>
    <t xml:space="preserve">Срок строительства </t>
  </si>
  <si>
    <t xml:space="preserve">Срок выполнения работ составляет </t>
  </si>
  <si>
    <t xml:space="preserve">Срок строитльства </t>
  </si>
  <si>
    <t>Срок на передачу объекта</t>
  </si>
  <si>
    <t>мес. до оформления Акта ЗОС и</t>
  </si>
  <si>
    <t>мес. на передачу объекта и подписание Итогового акта №3</t>
  </si>
  <si>
    <t>Банковские гарантии</t>
  </si>
  <si>
    <t>1. Банковская гарантия обеспечения исполнения Работ (Performance bond, %) - не предоставляется.
2. Банковская гарантия Гарантийного периода - предоставляется:
- Сумма БГ соответствует сумме ГУ, удержанного за соответствующий квартал. 
- Срок действия БГ — на 12 месяцев превышает дату окончания работ по Договору (дату подписания Итогового акта).</t>
  </si>
  <si>
    <t>Гарантийные удержания</t>
  </si>
  <si>
    <t xml:space="preserve">Гарантийное удержание – 2%
 Возврат гарантийного удержания:
- Поэтапный возврат ГУ — в течение 5 рабочих дней после предоставления Генподрядчиком банковской гарантии (БГ) на исполнение гарантийных обязательств по итогам каждого отчетного квартала (3 календарных месяца выполнения работ). </t>
  </si>
  <si>
    <t>Гарантийный срок</t>
  </si>
  <si>
    <r>
      <t xml:space="preserve">Гарантийный период на выполненные работы и установленное оборудование начинается с момента наступления одного из следующих условий, в зависимости от того, что произойдет ранее:
1. получения Заказчиком разрешения на ввод объекта в эксплуатацию (РВ);
2. истечения трех месяцев со дня получения (ЗОС);
3. подписания итогового акта сдачи-приемки выполненных работ.
Сроки гарантийного периода: 
● Общестроительные работы, включая конструктивные элементы, фасады и кровлю - </t>
    </r>
    <r>
      <rPr>
        <b/>
        <sz val="12"/>
        <color theme="1"/>
        <rFont val="Times New Roman"/>
        <family val="1"/>
        <charset val="204"/>
      </rPr>
      <t>36 месяцев</t>
    </r>
    <r>
      <rPr>
        <sz val="12"/>
        <color theme="1"/>
        <rFont val="Times New Roman"/>
        <family val="1"/>
        <charset val="204"/>
      </rPr>
      <t xml:space="preserve">
● Инженерные системы и оборудование - </t>
    </r>
    <r>
      <rPr>
        <b/>
        <sz val="12"/>
        <color theme="1"/>
        <rFont val="Times New Roman"/>
        <family val="1"/>
        <charset val="204"/>
      </rPr>
      <t>36 месяцев, если предусмотрен гарантийный срок от завода-изготовителя, на эти системы или оборудование применяется срок завода-изготовителя</t>
    </r>
    <r>
      <rPr>
        <sz val="12"/>
        <color theme="1"/>
        <rFont val="Times New Roman"/>
        <family val="1"/>
        <charset val="204"/>
      </rPr>
      <t xml:space="preserve">
● Отделочные работы и благоустройство - </t>
    </r>
    <r>
      <rPr>
        <b/>
        <sz val="12"/>
        <color theme="1"/>
        <rFont val="Times New Roman"/>
        <family val="1"/>
        <charset val="204"/>
      </rPr>
      <t>24 месяца</t>
    </r>
  </si>
  <si>
    <t>Временное помещение для гарантийного обслуживания</t>
  </si>
  <si>
    <r>
      <t xml:space="preserve">Заказчик предоставляет Генподрядчику на безвозмездной основе помещение сроком на </t>
    </r>
    <r>
      <rPr>
        <b/>
        <sz val="12"/>
        <color theme="1"/>
        <rFont val="Times New Roman"/>
        <family val="1"/>
        <charset val="204"/>
      </rPr>
      <t>18 (восемнадцать) месяцев</t>
    </r>
    <r>
      <rPr>
        <sz val="12"/>
        <color theme="1"/>
        <rFont val="Times New Roman"/>
        <family val="1"/>
        <charset val="204"/>
      </rPr>
      <t xml:space="preserve"> с момента получения заключения о соответствии (ЗОС) для размещения материалов, оборудования и персонала в целях гарантийного обслуживания. Параметры помещения согласовываются Сторонами дополнительно, а по истечении срока либо досрочном прекращении обязательств Генподрядчик возвращает помещение Заказчику в надлежащем состоянии.</t>
    </r>
  </si>
  <si>
    <t>Окончательная приемка работ</t>
  </si>
  <si>
    <t>Приемка работ в три этапа:
 ● Акт №1 (для папки ЗОС) - подписываем перед ЗОСом;
 ● Акт №2 (с исчерпывающим перечнем дефектов)
 ● Акт №3 - Итоговый Акт после устранения дефектов по Акту №2</t>
  </si>
  <si>
    <t>Работы, не предусмотренные в данном Договоре</t>
  </si>
  <si>
    <t>К вниманию Заказчика</t>
  </si>
  <si>
    <t>Уведомление о внесении изменений в документацию</t>
  </si>
  <si>
    <r>
      <t xml:space="preserve">Заказчик не позднее чем за </t>
    </r>
    <r>
      <rPr>
        <b/>
        <sz val="12"/>
        <color theme="1"/>
        <rFont val="Times New Roman"/>
        <family val="1"/>
        <charset val="204"/>
      </rPr>
      <t>90 дней</t>
    </r>
    <r>
      <rPr>
        <sz val="12"/>
        <color theme="1"/>
        <rFont val="Times New Roman"/>
        <family val="1"/>
        <charset val="204"/>
      </rPr>
      <t xml:space="preserve"> до начала работ обязан предупредить генподрядчика о планируемых изменениях в ПД, РД, Техническое задание, Вендор-лист и иную сопутствующую документацию. В случае не уведомления в предусмотренный договором срок Заказчик обязуется компенсировать генподрядчику понесенные расходы.</t>
    </r>
  </si>
  <si>
    <t xml:space="preserve">Внесение изменений в исходную документацию </t>
  </si>
  <si>
    <r>
      <t xml:space="preserve">При внесении изменений в исходные данные по инициативе любой из Сторон возникающая при этом экономия распределяется между Генподрядчиком и Заказчиком в равных долях </t>
    </r>
    <r>
      <rPr>
        <b/>
        <sz val="12"/>
        <color theme="1"/>
        <rFont val="Times New Roman"/>
        <family val="1"/>
        <charset val="204"/>
      </rPr>
      <t>(50/50)</t>
    </r>
  </si>
  <si>
    <t>Условия с номинированными Материалами и начисления генподрядного процента:</t>
  </si>
  <si>
    <t>В случае удорожания/удешевления компенсировать разницу с учетом коэффициента отходов (раскрой, усушка, утряска) + 5% на рост стоимости материалов</t>
  </si>
  <si>
    <t>Дата отправки КП</t>
  </si>
  <si>
    <t>Исполнительная документация</t>
  </si>
  <si>
    <t>Каникулы по ИД на 1 мес, кроме чек листов и 7-ми суточных лабораторных заключений.
Исполнительная документация оформляется Генподрядчиком в виде электронных документов в среде общих данных (СОД). В качестве СОД используется программный комплекс HARDROLLER.</t>
  </si>
  <si>
    <t>Штрафные санкции для Генерального подрядчика</t>
  </si>
  <si>
    <r>
      <t xml:space="preserve">Общий лимит ответственности по неустойкам – </t>
    </r>
    <r>
      <rPr>
        <b/>
        <sz val="12"/>
        <rFont val="Times New Roman"/>
        <family val="1"/>
        <charset val="204"/>
      </rPr>
      <t>3%</t>
    </r>
    <r>
      <rPr>
        <sz val="12"/>
        <rFont val="Times New Roman"/>
        <family val="1"/>
        <charset val="204"/>
      </rPr>
      <t xml:space="preserve"> от Цены Работ. Перечень ключевых событий, за которые полагаются штрафы:
1.	Завершение работ нулевого цикла;
2.	Завершение работ по монолиту надземной части;
3.	Закрытие теплового контура;
4.	Завершение работ по ВИС;
5.	Завершение работ по чистовой отделки;
6.	Завершение работ по благоустройству;
7.	ЗОС;
8.	Итоговый акт;
Все штрафы за сроки с </t>
    </r>
    <r>
      <rPr>
        <b/>
        <sz val="12"/>
        <rFont val="Times New Roman"/>
        <family val="1"/>
        <charset val="204"/>
      </rPr>
      <t>31 дня</t>
    </r>
    <r>
      <rPr>
        <sz val="12"/>
        <rFont val="Times New Roman"/>
        <family val="1"/>
        <charset val="204"/>
      </rPr>
      <t xml:space="preserve">. Штрафы подлежат учету, но не удерживаются, при этом в случае получения ЗОС вовремя, вся сумма штрафов аннулируется.
</t>
    </r>
    <r>
      <rPr>
        <b/>
        <sz val="12"/>
        <rFont val="Times New Roman"/>
        <family val="1"/>
        <charset val="204"/>
      </rPr>
      <t>При этом под практическим завершением по каждому из Ключевых событий подразумевается выполнение Генподрядчиком работ в объеме, достаточном для выполнения последующих видов работ и начала их использования, с возможным наличием технологических проемов и отверстий, необходимых для осуществления прочих видов работ по Договору.</t>
    </r>
  </si>
  <si>
    <t>Условия подряда с номинированнными Подрядчиками и начисления генподрядного процента:</t>
  </si>
  <si>
    <r>
      <t xml:space="preserve">Генподрядчик соглашается заключить Договор субподряда с номинированным Подрядчиком на условиях, предусмотренных в Коммерческом предложении Подрядчика. Цены, указанные в Коммерческом предложении, должны включать все затраты на выполнение работ, включая оплату коммунальных услуг и другие связанные расходы.
Генподрядчик начисляет генподрядный процент следующим образом:
а) Генподрядчик начисляет генподрядный процент в размере </t>
    </r>
    <r>
      <rPr>
        <b/>
        <sz val="12"/>
        <color theme="1"/>
        <rFont val="Times New Roman"/>
        <family val="1"/>
        <charset val="204"/>
      </rPr>
      <t>12%</t>
    </r>
    <r>
      <rPr>
        <sz val="12"/>
        <color theme="1"/>
        <rFont val="Times New Roman"/>
        <family val="1"/>
        <charset val="204"/>
      </rPr>
      <t xml:space="preserve">, если он не несет ответственности за возврат неиспользованных авансов, предоставленных Подрядчику, за качество, полноту и правильность исполнительной документации, предоставленной Подрядчиком, а также за дефекты в работе, выявленные в гарантийном периоде. В этом случае Генподрядчик обязуется обеспечивать общее управление ходом выполнения работ и предоставлять Подрядчику необходимую документацию и места для производства работ.
б) Генподрядчик начисляет генподрядный процент в размере </t>
    </r>
    <r>
      <rPr>
        <b/>
        <sz val="12"/>
        <color theme="1"/>
        <rFont val="Times New Roman"/>
        <family val="1"/>
        <charset val="204"/>
      </rPr>
      <t>26%</t>
    </r>
    <r>
      <rPr>
        <sz val="12"/>
        <color theme="1"/>
        <rFont val="Times New Roman"/>
        <family val="1"/>
        <charset val="204"/>
      </rPr>
      <t>, если он принимает на себя ответственность за использование авансов, выданных Подрядчику, за качество и полноту исполнительной документации, а также за дефекты в работе, выявленные в гарантийном периоде. Это включает все обязанности, упомянутые в пункте а).</t>
    </r>
  </si>
  <si>
    <t>Зачет аванса</t>
  </si>
  <si>
    <t>Зачет аванса производится пропорционально остатку объема выполненных работ и рассчитывается на первое число каждого месяца</t>
  </si>
  <si>
    <t>Дата получения стоимости материалов и работ от поставщиков и  подрядчиков для формирования стоимости текущего КП</t>
  </si>
  <si>
    <t xml:space="preserve">Условия оплаты СМР </t>
  </si>
  <si>
    <r>
      <rPr>
        <b/>
        <sz val="12"/>
        <color theme="1"/>
        <rFont val="Times New Roman"/>
        <family val="1"/>
        <charset val="204"/>
      </rPr>
      <t>10 рабочих дней</t>
    </r>
    <r>
      <rPr>
        <sz val="12"/>
        <color theme="1"/>
        <rFont val="Times New Roman"/>
        <family val="1"/>
        <charset val="204"/>
      </rPr>
      <t xml:space="preserve"> после подписания КС2 и КС3</t>
    </r>
  </si>
  <si>
    <t>Временные сети и подъездные пути</t>
  </si>
  <si>
    <t>Заказчик обязан предоставить в пределах строительной площадки точки подключения к временным сетям водоснабжения, электроснабжения и водоотведения с необходимой мощностью и производительностью для обеспечения бесперебойного снабжения на весь период строительства, а также обеспечить беспрепятственный доступ к подъездным путям для транспортировки материалов и оборудования. Заказчик несет ответственность за соответствие параметров временных сетей ТУ и подъездных путей нормативам, их работоспособность, а также за выполнение всех связанных с подключением, обслуживанием и демонтажем работ за свой счет.</t>
  </si>
  <si>
    <t>Договор Генерального подряда</t>
  </si>
  <si>
    <t>Договор в редакции Заказчика с учётом протокола разногласий.</t>
  </si>
  <si>
    <t>Перечень исполнительной документации</t>
  </si>
  <si>
    <r>
      <t>Содержит подробный перечень исполнительной документации</t>
    </r>
    <r>
      <rPr>
        <b/>
        <sz val="12"/>
        <color theme="1"/>
        <rFont val="Times New Roman"/>
        <family val="1"/>
        <charset val="204"/>
      </rPr>
      <t xml:space="preserve"> (Приложение №7)</t>
    </r>
    <r>
      <rPr>
        <sz val="12"/>
        <color theme="1"/>
        <rFont val="Times New Roman"/>
        <family val="1"/>
        <charset val="204"/>
      </rPr>
      <t>, которая должна быть предоставлена при сдаче работ. Он включает различные виды документов, такие как журналы работ, акты освидетельствования скрытых и ответственных конструкций, исполнительные чертежи, паспорта и сертификаты соответствия на материалы и оборудование, а также приказы и квалификационные удостоверения ответственных лиц. Каждый документ указан с указанием его вида (оригинал, копия, электронный вид), а также типовое объединение документов по однотипным конструкциям и без указания физических объемов, за исключением сыпучих материалов.</t>
    </r>
  </si>
  <si>
    <t>Приложения к Ключевым условиям:</t>
  </si>
  <si>
    <t>1. Приложение №4. Методика определения стоимости основных ресурсов</t>
  </si>
  <si>
    <t>2. Приложение №5. Базовая стоимость строительных материалов</t>
  </si>
  <si>
    <t>3. Приложение №6. Руководство АО СУ-10 по технической эксплуатации зданий, сооружений, инженерных систем и технических средств</t>
  </si>
  <si>
    <t>4. Приложение №7. Перечень исполнительной документации</t>
  </si>
  <si>
    <t xml:space="preserve">СУЩЕСТВЕННЫЕ УСЛОВИЯ ГЕНПОДРЯДА:
</t>
  </si>
  <si>
    <r>
      <t>1. В цену входят коммунальные платежи на период с начала производства работ до истечения срока, указанного в</t>
    </r>
    <r>
      <rPr>
        <sz val="12"/>
        <color rgb="FFFF0000"/>
        <rFont val="Times New Roman"/>
        <family val="1"/>
        <charset val="204"/>
      </rPr>
      <t xml:space="preserve"> </t>
    </r>
    <r>
      <rPr>
        <sz val="12"/>
        <rFont val="Times New Roman"/>
        <family val="1"/>
        <charset val="204"/>
      </rPr>
      <t>п.9. После этого периода - компенсация коммунальных платежей за Заказчиком, включая отопление. 
2. В случае продления срока производства работ (не по вине Генподрядчика) Заказчик компенсирует расходы Генподрядчику на содержание стройплощадки в размер</t>
    </r>
    <r>
      <rPr>
        <sz val="12"/>
        <color theme="1"/>
        <rFont val="Times New Roman"/>
        <family val="1"/>
        <charset val="204"/>
      </rPr>
      <t xml:space="preserve">е 25 </t>
    </r>
    <r>
      <rPr>
        <b/>
        <sz val="12"/>
        <color theme="1"/>
        <rFont val="Times New Roman"/>
        <family val="1"/>
        <charset val="204"/>
      </rPr>
      <t>млн рублей</t>
    </r>
    <r>
      <rPr>
        <sz val="12"/>
        <color theme="1"/>
        <rFont val="Times New Roman"/>
        <family val="1"/>
        <charset val="204"/>
      </rPr>
      <t xml:space="preserve"> за</t>
    </r>
    <r>
      <rPr>
        <sz val="12"/>
        <rFont val="Times New Roman"/>
        <family val="1"/>
        <charset val="204"/>
      </rPr>
      <t xml:space="preserve"> каждый дополнительный месяц (в данную стоимость не входят коммунальные платежи).</t>
    </r>
  </si>
  <si>
    <t xml:space="preserve">СУЩЕСТВЕННЫЕ УСЛОВИЯ ПОДРЯДА:
</t>
  </si>
  <si>
    <r>
      <t xml:space="preserve">Твердая договорная цена </t>
    </r>
    <r>
      <rPr>
        <sz val="12"/>
        <rFont val="Times New Roman"/>
        <family val="1"/>
        <charset val="204"/>
      </rPr>
      <t xml:space="preserve">(см. пункт 7. </t>
    </r>
    <r>
      <rPr>
        <sz val="12"/>
        <color theme="1"/>
        <rFont val="Times New Roman"/>
        <family val="1"/>
        <charset val="204"/>
      </rPr>
      <t>Существенных условий)</t>
    </r>
  </si>
  <si>
    <t>Твердая за единицу. Объемы - по факту.</t>
  </si>
  <si>
    <t>Ведомость объемов работ (физ. объемы)</t>
  </si>
  <si>
    <t>Коммунальные платежи входят в Цену Договора до Итогового акта</t>
  </si>
  <si>
    <t>Общий аванс - 40%
1. 5% на аванс под БГ;
2. 35% по распред. письмам (фин. поручениям) на материалы без БГ в течение работ.
Заказчик осуществляет оплату целевого аванса на основании счетов, выставленных как поставщиком Подрядчика, так и поставщикам Субподрядчика</t>
  </si>
  <si>
    <t>1. Методика удорожания/удешевления стоимости материалов, в БСМ бетон и арматура, коридор 5%.
2. Внесение изменений в П, РД, ТЗ, Ведомость объемов работ и Приложения к Договору.
3. По мере выхода РД, сверка/уточнение объемов, в случае увеличения/уменьшения - стороны подписывают ДС.
4. В случае изменения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t>
  </si>
  <si>
    <t>ГЕНПОДРЯД</t>
  </si>
  <si>
    <t xml:space="preserve">Коробка </t>
  </si>
  <si>
    <t>1. Методика удорожания/удешевления стоимости материалов, в БСМ бетон и арматура, коридор 0%.
2. Внесение изменений в П, РД, ТЗ, Ведомость объемов работ и Приложения к Договору.
3. По мере выхода РД, сверка/уточнение объемов, в случае увеличения/уменьшения - стороны подписывают ДС.
4. В случае изменения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t>
  </si>
  <si>
    <t>Срок выполнения работ составляет 34 месяца до Итогового Акта и 2 месяца на передачу объекта</t>
  </si>
  <si>
    <t>1. БГ исполнения - не предоставляется
2. БГ на аванс - на аванс до 5% от Цены Договора
3. БГ гарантийного периода - не предоставляется</t>
  </si>
  <si>
    <t>ГУ - не предусмотрено</t>
  </si>
  <si>
    <t>Гарантийный период на выполненные работы начинается с момента подписания итогового акта сдачи-приемки выполненных работ.
Сроки гарантийного периода: 
● Общестроительные работы - 36 месяцев</t>
  </si>
  <si>
    <t>Итоговый Акт после окончания работ</t>
  </si>
  <si>
    <t>Каникулы по ИД на 1 мес., кроме чек листов и 7-ми суточных лабораторных заключений.
Исполнительная документация оформляется Подрядчиком в виде электронных документов в среде общих данных (СОД). В качестве СОД используется программный комплекс HARDROLLER.</t>
  </si>
  <si>
    <t>Общий лимит ответственности по неустойкам – 3% от Цены Работ. Перечень ключевых событий, за которые полагаются штрафы:
1. Завершение работ по монолиту подземной части - 100 000 руб/мес.;
2. Завершение работ по монолиту надземной части - 100 000 руб./мес.;
3. Завершение работ по кладке - 100 000 руб./мес.;
4. Завершение работ по кровле - 100 000 руб./мес.;
5. Итоговый акт - 100 000 руб./мес.;
Все штрафы за сроки с 31 дня. Штрафы подлежат учету, но не удерживаются, при этом в случае окончания работ вовремя, вся сумма штрафов аннулируется.
При этом под практическим завершением по каждому из Ключевых событий подразумевается выполнение подрядчиком работ в объеме, достаточном для выполнения последующих видов работ и начала их использования, с возможным наличием технологических проемов и отверстий, необходимых для осуществления прочих видов работ по Договору.</t>
  </si>
  <si>
    <t>10 рабочих дней после подписания КС2 и КС3</t>
  </si>
  <si>
    <t>Договор Подряда</t>
  </si>
  <si>
    <t>Штрафные санкции для Подрядчика</t>
  </si>
  <si>
    <t>Условия с номинированными Материалами и начисления Подрядного процента:</t>
  </si>
  <si>
    <t>12</t>
  </si>
  <si>
    <t>13</t>
  </si>
  <si>
    <t>14</t>
  </si>
  <si>
    <t>15</t>
  </si>
  <si>
    <t>16</t>
  </si>
  <si>
    <t>17</t>
  </si>
  <si>
    <t>18</t>
  </si>
  <si>
    <t>19</t>
  </si>
  <si>
    <t>20</t>
  </si>
  <si>
    <t>21</t>
  </si>
  <si>
    <t>22</t>
  </si>
  <si>
    <t>3. Приложение №7. Перечень исполнительной документации</t>
  </si>
  <si>
    <r>
      <t>Содержит подробный перечень исполнительной документации</t>
    </r>
    <r>
      <rPr>
        <b/>
        <sz val="12"/>
        <color theme="1"/>
        <rFont val="Times New Roman"/>
        <family val="1"/>
        <charset val="204"/>
      </rPr>
      <t xml:space="preserve"> (Приложение №6)</t>
    </r>
    <r>
      <rPr>
        <sz val="12"/>
        <color theme="1"/>
        <rFont val="Times New Roman"/>
        <family val="1"/>
        <charset val="204"/>
      </rPr>
      <t>, которая должна быть предоставлена при сдаче работ. Он включает различные виды документов, такие как журналы работ, акты освидетельствования скрытых и ответственных конструкций, исполнительные чертежи, паспорта и сертификаты соответствия на материалы и оборудование, а также приказы и квалификационные удостоверения ответственных лиц. Каждый документ указан с указанием его вида (оригинал, копия, электронный вид), а также типовое объединение документов по однотипным конструкциям и без указания физических объемов, за исключением сыпучих материалов.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</si>
</sst>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charset val="204"/>
      <scheme val="minor"/>
    </font>
    <font>
      <sz val="12"/>
      <color theme="1"/>
      <name val="Times New Roman"/>
      <family val="1"/>
      <charset val="204"/>
    </font>
    <font>
      <sz val="12"/>
      <name val="Times New Roman"/>
      <family val="1"/>
      <charset val="204"/>
    </font>
    <font>
      <b/>
      <sz val="12"/>
      <color theme="1"/>
      <name val="Times New Roman"/>
      <family val="1"/>
      <charset val="204"/>
    </font>
    <font>
      <sz val="12"/>
      <color rgb="FFFF0000"/>
      <name val="Times New Roman"/>
      <family val="1"/>
      <charset val="204"/>
    </font>
    <font>
      <b/>
      <sz val="18"/>
      <color theme="1"/>
      <name val="Times New Roman"/>
      <family val="1"/>
      <charset val="204"/>
    </font>
    <font>
      <b/>
      <sz val="12"/>
      <name val="Times New Roman"/>
      <family val="1"/>
      <charset val="204"/>
    </font>
    <font>
      <b/>
      <sz val="11"/>
      <color theme="1"/>
      <name val="Times New Roman"/>
      <family val="1"/>
      <charset val="204"/>
    </font>
    <font>
      <sz val="11"/>
      <name val="Times New Roman"/>
      <family val="1"/>
      <charset val="204"/>
    </font>
    <font>
      <b/>
      <sz val="16"/>
      <color theme="1"/>
      <name val="Times New Roman"/>
      <family val="1"/>
      <charset val="204"/>
    </font>
    <font>
      <b/>
      <sz val="72"/>
      <color theme="1"/>
      <name val="Calibri"/>
      <family val="2"/>
      <charset val="204"/>
      <scheme val="minor"/>
    </font>
    <font>
      <sz val="8"/>
      <name val="Calibri"/>
      <family val="2"/>
      <scheme val="minor"/>
    </font>
    <font>
      <sz val="11"/>
      <color theme="1"/>
      <name val="Times New Roman"/>
      <family val="1"/>
      <charset val="204"/>
    </font>
    <font>
      <b/>
      <sz val="14"/>
      <color theme="1"/>
      <name val="Times New Roman"/>
      <family val="1"/>
      <charset val="204"/>
    </font>
  </fonts>
  <fills count="3">
    <fill>
      <patternFill patternType="none"/>
    </fill>
    <fill>
      <patternFill patternType="gray125"/>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62">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left" vertical="center"/>
    </xf>
    <xf numFmtId="49" fontId="3" fillId="0" borderId="2" xfId="0" applyNumberFormat="1" applyFont="1" applyBorder="1" applyAlignment="1">
      <alignment horizontal="left" vertical="center" wrapText="1"/>
    </xf>
    <xf numFmtId="49" fontId="2" fillId="0" borderId="0" xfId="0" applyNumberFormat="1" applyFont="1"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wrapText="1"/>
    </xf>
    <xf numFmtId="0" fontId="0" fillId="0" borderId="5" xfId="0" applyBorder="1"/>
    <xf numFmtId="0" fontId="0" fillId="0" borderId="6" xfId="0" applyBorder="1" applyAlignment="1">
      <alignment horizontal="left" vertical="center"/>
    </xf>
    <xf numFmtId="0" fontId="0" fillId="0" borderId="0" xfId="0" applyBorder="1" applyAlignment="1">
      <alignment wrapText="1"/>
    </xf>
    <xf numFmtId="0" fontId="0" fillId="0" borderId="7" xfId="0" applyBorder="1"/>
    <xf numFmtId="0" fontId="0" fillId="0" borderId="8" xfId="0" applyBorder="1" applyAlignment="1">
      <alignment horizontal="left" vertical="center"/>
    </xf>
    <xf numFmtId="0" fontId="0" fillId="0" borderId="9" xfId="0" applyBorder="1"/>
    <xf numFmtId="0" fontId="0" fillId="0" borderId="10" xfId="0" applyBorder="1"/>
    <xf numFmtId="0" fontId="0" fillId="0" borderId="5" xfId="0" applyBorder="1" applyAlignment="1">
      <alignment wrapText="1"/>
    </xf>
    <xf numFmtId="0" fontId="0" fillId="0" borderId="7" xfId="0" applyBorder="1" applyAlignment="1">
      <alignment wrapText="1"/>
    </xf>
    <xf numFmtId="0" fontId="0" fillId="0" borderId="9" xfId="0" applyBorder="1" applyAlignment="1">
      <alignment wrapText="1"/>
    </xf>
    <xf numFmtId="0" fontId="0" fillId="0" borderId="10" xfId="0" applyBorder="1" applyAlignment="1">
      <alignment wrapText="1"/>
    </xf>
    <xf numFmtId="0" fontId="3" fillId="0" borderId="2" xfId="0" applyNumberFormat="1" applyFont="1" applyBorder="1" applyAlignment="1">
      <alignment horizontal="left" vertical="center" wrapText="1"/>
    </xf>
    <xf numFmtId="14" fontId="0" fillId="0" borderId="0" xfId="0" applyNumberFormat="1"/>
    <xf numFmtId="0" fontId="0" fillId="0" borderId="0" xfId="0" applyBorder="1" applyAlignment="1">
      <alignment horizontal="left" vertical="center"/>
    </xf>
    <xf numFmtId="0" fontId="0" fillId="0" borderId="0" xfId="0" applyBorder="1"/>
    <xf numFmtId="0" fontId="8" fillId="0" borderId="0" xfId="0" applyFont="1"/>
    <xf numFmtId="0" fontId="9" fillId="0" borderId="0" xfId="0" applyFont="1"/>
    <xf numFmtId="0" fontId="9" fillId="0" borderId="0" xfId="5" applyFont="1"/>
    <xf numFmtId="49" fontId="6" fillId="0" borderId="1" xfId="0" applyNumberFormat="1" applyFont="1" applyBorder="1" applyAlignment="1">
      <alignment horizontal="center" vertical="center"/>
    </xf>
    <xf numFmtId="0" fontId="0" fillId="0" borderId="1" xfId="0" applyBorder="1"/>
    <xf numFmtId="49" fontId="2" fillId="0" borderId="1" xfId="0" applyNumberFormat="1" applyFont="1" applyBorder="1" applyAlignment="1">
      <alignment horizontal="left" vertical="center" wrapText="1"/>
    </xf>
    <xf numFmtId="2" fontId="3" fillId="0" borderId="1" xfId="0" applyNumberFormat="1" applyFont="1" applyBorder="1" applyAlignment="1">
      <alignment horizontal="left" vertical="center" wrapText="1"/>
    </xf>
    <xf numFmtId="0" fontId="3" fillId="0" borderId="1" xfId="0" applyNumberFormat="1" applyFont="1" applyBorder="1" applyAlignment="1">
      <alignment horizontal="left" vertical="center" wrapText="1"/>
    </xf>
    <xf numFmtId="0" fontId="0" fillId="0" borderId="1" xfId="0" quotePrefix="1" applyBorder="1" applyAlignment="1">
      <alignment wrapText="1"/>
    </xf>
    <xf numFmtId="49" fontId="3" fillId="0" borderId="1" xfId="0" applyNumberFormat="1" applyFont="1" applyBorder="1" applyAlignment="1">
      <alignment horizontal="left" vertical="center" wrapText="1"/>
    </xf>
    <xf numFmtId="0" fontId="3" fillId="0" borderId="1" xfId="3" applyFont="1" applyBorder="1" applyAlignment="1">
      <alignment horizontal="justify" vertical="center" wrapText="1"/>
    </xf>
    <xf numFmtId="14" fontId="7" fillId="0" borderId="1" xfId="0" applyNumberFormat="1" applyFont="1" applyBorder="1" applyAlignment="1">
      <alignment horizontal="left" vertical="center" wrapText="1"/>
    </xf>
    <xf numFmtId="49" fontId="2" fillId="0" borderId="1" xfId="4" applyNumberFormat="1" applyFont="1" applyBorder="1" applyAlignment="1">
      <alignment horizontal="left" vertical="center" wrapText="1"/>
    </xf>
    <xf numFmtId="49" fontId="2"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2" fillId="0" borderId="1" xfId="4" applyNumberFormat="1" applyFont="1" applyBorder="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9" fillId="0" borderId="0" xfId="5" applyFont="1" applyAlignment="1">
      <alignment horizontal="center" vertical="center"/>
    </xf>
    <xf numFmtId="49" fontId="10" fillId="0" borderId="0" xfId="0" applyNumberFormat="1" applyFont="1"/>
    <xf numFmtId="0" fontId="11" fillId="0" borderId="0" xfId="0" applyFont="1"/>
    <xf numFmtId="0" fontId="2" fillId="0" borderId="1" xfId="0" applyNumberFormat="1" applyFont="1" applyBorder="1" applyAlignment="1">
      <alignment horizontal="left" vertical="center" wrapText="1"/>
    </xf>
    <xf numFmtId="0" fontId="3" fillId="0" borderId="1" xfId="3" applyNumberFormat="1" applyFont="1" applyBorder="1" applyAlignment="1">
      <alignment horizontal="justify" vertical="center" wrapText="1"/>
    </xf>
    <xf numFmtId="49" fontId="10" fillId="0" borderId="0" xfId="0" applyNumberFormat="1" applyFont="1" applyAlignment="1"/>
    <xf numFmtId="0" fontId="13" fillId="0" borderId="0" xfId="0" applyFont="1" applyAlignment="1">
      <alignment wrapText="1"/>
    </xf>
    <xf numFmtId="0" fontId="13" fillId="0" borderId="0" xfId="0" applyFont="1"/>
    <xf numFmtId="0" fontId="13" fillId="0" borderId="1" xfId="0" applyFont="1" applyBorder="1" applyAlignment="1">
      <alignment wrapText="1"/>
    </xf>
    <xf numFmtId="0" fontId="13" fillId="0" borderId="1" xfId="0" applyFont="1" applyBorder="1" applyAlignment="1">
      <alignment horizontal="center" vertical="center"/>
    </xf>
    <xf numFmtId="14" fontId="13" fillId="0" borderId="1" xfId="0" applyNumberFormat="1" applyFont="1" applyBorder="1" applyAlignment="1">
      <alignment horizontal="center" vertical="center"/>
    </xf>
    <xf numFmtId="0" fontId="14" fillId="2" borderId="1" xfId="0" applyFont="1" applyFill="1" applyBorder="1" applyAlignment="1">
      <alignment wrapText="1"/>
    </xf>
    <xf numFmtId="0" fontId="14" fillId="2" borderId="1" xfId="0" applyFont="1" applyFill="1"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49" fontId="2" fillId="2" borderId="1" xfId="0" applyNumberFormat="1" applyFont="1" applyFill="1" applyBorder="1" applyAlignment="1">
      <alignment horizontal="left" vertical="center" wrapText="1"/>
    </xf>
    <xf numFmtId="49" fontId="2" fillId="2" borderId="1" xfId="0" applyNumberFormat="1" applyFont="1" applyFill="1" applyBorder="1" applyAlignment="1">
      <alignment horizontal="left" vertical="top" wrapText="1"/>
    </xf>
    <xf numFmtId="49" fontId="2"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left" vertical="top" wrapText="1"/>
    </xf>
    <xf numFmtId="0" fontId="0" fillId="0" borderId="1" xfId="0" applyBorder="1" applyAlignment="1">
      <alignment horizontal="center"/>
    </xf>
  </cellXfs>
  <cellStyles count="6">
    <cellStyle name="Обычный" xfId="0" builtinId="0"/>
    <cellStyle name="Обычный 10" xfId="1" xr:uid="{78121697-782E-4F25-B8F1-B4C034856A3F}"/>
    <cellStyle name="Обычный 11" xfId="4" xr:uid="{E53AB283-06A0-4A78-88A5-078647B21455}"/>
    <cellStyle name="Обычный 3" xfId="5" xr:uid="{7F021D79-C11E-45B5-9121-0C82CA28F258}"/>
    <cellStyle name="Обычный 6" xfId="3" xr:uid="{9BA3EE1C-5D38-46D9-BFD5-A62E95BA465B}"/>
    <cellStyle name="Обычный 9" xfId="2" xr:uid="{4F8A3BEE-9402-48B7-83D7-FD64BA0DD9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F3815-E27B-4A6D-AF87-6B583811DE5D}">
  <dimension ref="B3:C17"/>
  <sheetViews>
    <sheetView workbookViewId="0">
      <selection activeCell="D19" sqref="D19"/>
    </sheetView>
  </sheetViews>
  <sheetFormatPr defaultRowHeight="15" x14ac:dyDescent="0.25"/>
  <cols>
    <col min="1" max="1" width="9.140625" style="48"/>
    <col min="2" max="2" width="33" style="47" customWidth="1"/>
    <col min="3" max="3" width="23.28515625" style="48" customWidth="1"/>
    <col min="4" max="4" width="9.140625" style="48"/>
    <col min="5" max="5" width="41.42578125" style="48" customWidth="1"/>
    <col min="6" max="6" width="43.42578125" style="48" customWidth="1"/>
    <col min="7" max="16384" width="9.140625" style="48"/>
  </cols>
  <sheetData>
    <row r="3" spans="2:3" ht="18.75" x14ac:dyDescent="0.3">
      <c r="B3" s="52" t="s">
        <v>15</v>
      </c>
      <c r="C3" s="53" t="s">
        <v>17</v>
      </c>
    </row>
    <row r="4" spans="2:3" ht="30" x14ac:dyDescent="0.25">
      <c r="B4" s="49" t="s">
        <v>1</v>
      </c>
      <c r="C4" s="50" t="s">
        <v>3</v>
      </c>
    </row>
    <row r="5" spans="2:3" x14ac:dyDescent="0.25">
      <c r="B5" s="49" t="s">
        <v>28</v>
      </c>
      <c r="C5" s="50" t="s">
        <v>22</v>
      </c>
    </row>
    <row r="6" spans="2:3" x14ac:dyDescent="0.25">
      <c r="B6" s="49" t="s">
        <v>43</v>
      </c>
      <c r="C6" s="50">
        <v>24</v>
      </c>
    </row>
    <row r="7" spans="2:3" x14ac:dyDescent="0.25">
      <c r="B7" s="49" t="s">
        <v>44</v>
      </c>
      <c r="C7" s="50">
        <v>3</v>
      </c>
    </row>
    <row r="8" spans="2:3" x14ac:dyDescent="0.25">
      <c r="B8" s="49" t="s">
        <v>65</v>
      </c>
      <c r="C8" s="51">
        <v>46232</v>
      </c>
    </row>
    <row r="12" spans="2:3" ht="18.75" x14ac:dyDescent="0.3">
      <c r="B12" s="52" t="s">
        <v>15</v>
      </c>
      <c r="C12" s="53" t="s">
        <v>16</v>
      </c>
    </row>
    <row r="13" spans="2:3" ht="30" x14ac:dyDescent="0.25">
      <c r="B13" s="49" t="s">
        <v>1</v>
      </c>
      <c r="C13" s="50" t="s">
        <v>3</v>
      </c>
    </row>
    <row r="14" spans="2:3" x14ac:dyDescent="0.25">
      <c r="B14" s="49" t="s">
        <v>28</v>
      </c>
      <c r="C14" s="50" t="s">
        <v>22</v>
      </c>
    </row>
    <row r="15" spans="2:3" x14ac:dyDescent="0.25">
      <c r="B15" s="49" t="s">
        <v>43</v>
      </c>
      <c r="C15" s="50">
        <v>24</v>
      </c>
    </row>
    <row r="16" spans="2:3" x14ac:dyDescent="0.25">
      <c r="B16" s="49" t="s">
        <v>44</v>
      </c>
      <c r="C16" s="50">
        <v>3</v>
      </c>
    </row>
    <row r="17" spans="2:3" x14ac:dyDescent="0.25">
      <c r="B17" s="49" t="s">
        <v>65</v>
      </c>
      <c r="C17" s="51">
        <v>46233</v>
      </c>
    </row>
  </sheetData>
  <dataValidations count="1">
    <dataValidation type="list" allowBlank="1" showInputMessage="1" showErrorMessage="1" sqref="C3 C12" xr:uid="{420C37F8-83CD-4EC3-BFEA-89A25D0A8FE5}">
      <formula1>"Коробка,Генподряд"</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5BD2155F-A774-47C1-B5F3-CCD7C3CF713D}">
          <x14:formula1>
            <xm:f>'Сущ. условия  (текст)'!$D$14:$D$17</xm:f>
          </x14:formula1>
          <xm:sqref>C5 C14</xm:sqref>
        </x14:dataValidation>
        <x14:dataValidation type="list" allowBlank="1" showInputMessage="1" showErrorMessage="1" xr:uid="{000B042D-52CB-444A-8DC0-1C94039C5641}">
          <x14:formula1>
            <xm:f>'Сущ. условия  (текст)'!$D$4:$D$11</xm:f>
          </x14:formula1>
          <xm:sqref>C4</xm:sqref>
        </x14:dataValidation>
        <x14:dataValidation type="list" allowBlank="1" showInputMessage="1" showErrorMessage="1" xr:uid="{53A7B6C2-7477-4497-B0C2-366F75607153}">
          <x14:formula1>
            <xm:f>'Сущ. условия  (текст)'!$D$35:$D$36</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58DA-5FBF-48EE-8383-EEFE073A3832}">
  <dimension ref="A1:I45"/>
  <sheetViews>
    <sheetView tabSelected="1" zoomScale="70" zoomScaleNormal="70" workbookViewId="0">
      <selection activeCell="D9" sqref="D9"/>
    </sheetView>
  </sheetViews>
  <sheetFormatPr defaultRowHeight="15" x14ac:dyDescent="0.25"/>
  <cols>
    <col min="1" max="1" width="20" style="1" customWidth="1"/>
    <col min="2" max="2" width="43.5703125" customWidth="1"/>
    <col min="3" max="3" width="200.140625" customWidth="1"/>
    <col min="4" max="4" width="108.140625" customWidth="1"/>
    <col min="7" max="7" width="24.140625" customWidth="1"/>
    <col min="8" max="8" width="36" customWidth="1"/>
    <col min="9" max="9" width="25.5703125" customWidth="1"/>
  </cols>
  <sheetData>
    <row r="1" spans="1:9" ht="32.25" customHeight="1" x14ac:dyDescent="0.3">
      <c r="A1" s="42" t="s">
        <v>88</v>
      </c>
    </row>
    <row r="3" spans="1:9" ht="63" customHeight="1" x14ac:dyDescent="0.25">
      <c r="A3" s="26" t="s">
        <v>40</v>
      </c>
      <c r="B3" s="26" t="s">
        <v>37</v>
      </c>
      <c r="C3" s="26" t="s">
        <v>38</v>
      </c>
      <c r="D3" s="26" t="s">
        <v>39</v>
      </c>
    </row>
    <row r="4" spans="1:9" ht="30.75" customHeight="1" x14ac:dyDescent="0.25">
      <c r="A4" s="36">
        <v>1</v>
      </c>
      <c r="B4" s="28" t="s">
        <v>36</v>
      </c>
      <c r="C4" s="28" t="s">
        <v>91</v>
      </c>
      <c r="D4" s="27"/>
    </row>
    <row r="5" spans="1:9" ht="30.75" customHeight="1" x14ac:dyDescent="0.25">
      <c r="A5" s="36">
        <v>2</v>
      </c>
      <c r="B5" s="28" t="s">
        <v>34</v>
      </c>
      <c r="C5" s="28" t="s">
        <v>35</v>
      </c>
      <c r="D5" s="27"/>
    </row>
    <row r="6" spans="1:9" ht="90.75" customHeight="1" x14ac:dyDescent="0.25">
      <c r="A6" s="36">
        <v>3</v>
      </c>
      <c r="B6" s="28" t="s">
        <v>33</v>
      </c>
      <c r="C6" s="29" t="s">
        <v>89</v>
      </c>
      <c r="D6" s="27"/>
    </row>
    <row r="7" spans="1:9" ht="72.75" customHeight="1" x14ac:dyDescent="0.25">
      <c r="A7" s="36">
        <v>4</v>
      </c>
      <c r="B7" s="28" t="s">
        <v>31</v>
      </c>
      <c r="C7" s="29" t="s">
        <v>32</v>
      </c>
      <c r="D7" s="27"/>
    </row>
    <row r="8" spans="1:9" ht="72.75" customHeight="1" x14ac:dyDescent="0.25">
      <c r="A8" s="36">
        <v>5</v>
      </c>
      <c r="B8" s="28" t="s">
        <v>29</v>
      </c>
      <c r="C8" s="29" t="s">
        <v>30</v>
      </c>
      <c r="D8" s="27"/>
    </row>
    <row r="9" spans="1:9" ht="75.75" customHeight="1" x14ac:dyDescent="0.25">
      <c r="A9" s="36">
        <v>6</v>
      </c>
      <c r="B9" s="28" t="s">
        <v>20</v>
      </c>
      <c r="C9" s="29" t="str" cm="1">
        <f t="array" ref="C9">_xlfn.SWITCH('Осн. параметры '!C5,'Сущ. условия  (текст)'!D14,'Сущ. условия  (текст)'!E14,'Сущ. условия  (текст)'!D15,'Сущ. условия  (текст)'!E15,'Сущ. условия  (текст)'!D16,'Сущ. условия  (текст)'!E16)</f>
        <v>Общий аванс - 30%. 
Допустимо 5% на аванс под БГ и 25% по распред. письмам за материалы без БГ.
Аванс 5% выплачиваются на обычный расчетный счет с предоставлением Банковской гарантии.</v>
      </c>
      <c r="D9" s="27"/>
      <c r="H9" s="2"/>
    </row>
    <row r="10" spans="1:9" ht="216.75" customHeight="1" x14ac:dyDescent="0.25">
      <c r="A10" s="36">
        <v>7</v>
      </c>
      <c r="B10" s="28" t="s">
        <v>0</v>
      </c>
      <c r="C10" s="30" t="str" cm="1">
        <f t="array" ref="C10">_xlfn.SWITCH('Осн. параметры '!C4,'Сущ. условия  (текст)'!D4,'Сущ. условия  (текст)'!F4,'Сущ. условия  (текст)'!D5,'Сущ. условия  (текст)'!F5,'Сущ. условия  (текст)'!D6,'Сущ. условия  (текст)'!F6,'Сущ. условия  (текст)'!D7,'Сущ. условия  (текст)'!F7,'Сущ. условия  (текст)'!D8,'Сущ. условия  (текст)'!F8,'Сущ. условия  (текст)'!D9,'Сущ. условия  (текст)'!F9,'Сущ. условия  (текст)'!D10,'Сущ. условия  (текст)'!F10,'Сущ. условия  (текст)'!D11,'Сущ. условия  (текст)'!F11,)</f>
        <v>1. Рост стоимости материалов более 5%. Компенсация производится с 6-ого процента.
2.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3.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v>
      </c>
      <c r="D10" s="27"/>
    </row>
    <row r="11" spans="1:9" ht="216.75" customHeight="1" x14ac:dyDescent="0.25">
      <c r="A11" s="36">
        <v>8</v>
      </c>
      <c r="B11" s="28" t="s">
        <v>1</v>
      </c>
      <c r="C11" s="30" t="str" cm="1">
        <f t="array" ref="C11">_xlfn.SWITCH('Осн. параметры '!C4,'Сущ. условия  (текст)'!D4,'Сущ. условия  (текст)'!E4,'Сущ. условия  (текст)'!D5,'Сущ. условия  (текст)'!E5,'Сущ. условия  (текст)'!D6,'Сущ. условия  (текст)'!E6,'Сущ. условия  (текст)'!D7,'Сущ. условия  (текст)'!E7,'Сущ. условия  (текст)'!D8,'Сущ. условия  (текст)'!E8,'Сущ. условия  (текст)'!D9,'Сущ. условия  (текст)'!E9,'Сущ. условия  (текст)'!D10,'Сущ. условия  (текст)'!E10,'Сущ. условия  (текст)'!D11,'Сущ. условия  (текст)'!E11)</f>
        <v>Компенсация роста стоимости материалов выполняется по следующему механизму: 
В стоимости Работ учтен рост стоимости материалов 5%. В случае, если рыночная цена изменится по отношению к базовой стоимости материалов (БСМ) (Приложение №5), актуальной на 29.07.2026 года, более, чем на 5%, то с 6% будет проведен перерасчет стоимости ресурсов между Заказчиком и Генеральным подрядчиком по Методике, изложенной в Приложении №4. Данный процесс предусматривает согласование новых цен и оформление Протоколов изменений, которые могут повлечь за собой корректировку стоимости в рамках договора.</v>
      </c>
      <c r="D11" s="31"/>
    </row>
    <row r="12" spans="1:9" ht="32.25" customHeight="1" x14ac:dyDescent="0.25">
      <c r="A12" s="36">
        <v>9</v>
      </c>
      <c r="B12" s="28" t="s">
        <v>37</v>
      </c>
      <c r="C12" s="30" t="str">
        <f>'Сущ. условия  (текст)'!E20</f>
        <v>Срок выполнения работ составляет 24 мес. до оформления Акта ЗОС и 3 мес. на передачу объекта и подписание Итогового акта №3</v>
      </c>
      <c r="D12" s="27"/>
    </row>
    <row r="13" spans="1:9" ht="86.25" customHeight="1" x14ac:dyDescent="0.25">
      <c r="A13" s="36">
        <v>10</v>
      </c>
      <c r="B13" s="28" t="s">
        <v>47</v>
      </c>
      <c r="C13" s="32" t="s">
        <v>48</v>
      </c>
      <c r="D13" s="27"/>
    </row>
    <row r="14" spans="1:9" ht="82.5" customHeight="1" x14ac:dyDescent="0.25">
      <c r="A14" s="36">
        <v>11</v>
      </c>
      <c r="B14" s="28" t="s">
        <v>49</v>
      </c>
      <c r="C14" s="32" t="s">
        <v>50</v>
      </c>
      <c r="D14" s="27"/>
      <c r="I14" s="20"/>
    </row>
    <row r="15" spans="1:9" ht="180" customHeight="1" x14ac:dyDescent="0.25">
      <c r="A15" s="36">
        <v>12</v>
      </c>
      <c r="B15" s="28" t="s">
        <v>51</v>
      </c>
      <c r="C15" s="32" t="s">
        <v>52</v>
      </c>
      <c r="D15" s="27"/>
      <c r="H15" s="2"/>
    </row>
    <row r="16" spans="1:9" ht="75.75" customHeight="1" x14ac:dyDescent="0.25">
      <c r="A16" s="36">
        <v>13</v>
      </c>
      <c r="B16" s="28" t="s">
        <v>53</v>
      </c>
      <c r="C16" s="32" t="s">
        <v>54</v>
      </c>
      <c r="D16" s="27"/>
    </row>
    <row r="17" spans="1:4" ht="63" x14ac:dyDescent="0.25">
      <c r="A17" s="36">
        <v>14</v>
      </c>
      <c r="B17" s="28" t="s">
        <v>55</v>
      </c>
      <c r="C17" s="32" t="s">
        <v>56</v>
      </c>
      <c r="D17" s="27"/>
    </row>
    <row r="18" spans="1:4" x14ac:dyDescent="0.25">
      <c r="A18" s="59">
        <v>15</v>
      </c>
      <c r="B18" s="57" t="s">
        <v>57</v>
      </c>
      <c r="C18" s="58"/>
      <c r="D18" s="54"/>
    </row>
    <row r="19" spans="1:4" x14ac:dyDescent="0.25">
      <c r="A19" s="59"/>
      <c r="B19" s="57"/>
      <c r="C19" s="58"/>
      <c r="D19" s="55"/>
    </row>
    <row r="20" spans="1:4" x14ac:dyDescent="0.25">
      <c r="A20" s="59"/>
      <c r="B20" s="57"/>
      <c r="C20" s="58"/>
      <c r="D20" s="55"/>
    </row>
    <row r="21" spans="1:4" x14ac:dyDescent="0.25">
      <c r="A21" s="59"/>
      <c r="B21" s="57"/>
      <c r="C21" s="58"/>
      <c r="D21" s="56"/>
    </row>
    <row r="22" spans="1:4" x14ac:dyDescent="0.25">
      <c r="A22" s="59">
        <v>16</v>
      </c>
      <c r="B22" s="57" t="s">
        <v>58</v>
      </c>
      <c r="C22" s="58"/>
      <c r="D22" s="54"/>
    </row>
    <row r="23" spans="1:4" x14ac:dyDescent="0.25">
      <c r="A23" s="59"/>
      <c r="B23" s="57"/>
      <c r="C23" s="58"/>
      <c r="D23" s="55"/>
    </row>
    <row r="24" spans="1:4" x14ac:dyDescent="0.25">
      <c r="A24" s="59"/>
      <c r="B24" s="57"/>
      <c r="C24" s="58"/>
      <c r="D24" s="55"/>
    </row>
    <row r="25" spans="1:4" x14ac:dyDescent="0.25">
      <c r="A25" s="59"/>
      <c r="B25" s="57"/>
      <c r="C25" s="58"/>
      <c r="D25" s="55"/>
    </row>
    <row r="26" spans="1:4" x14ac:dyDescent="0.25">
      <c r="A26" s="59"/>
      <c r="B26" s="57"/>
      <c r="C26" s="58"/>
      <c r="D26" s="56"/>
    </row>
    <row r="27" spans="1:4" ht="59.25" customHeight="1" x14ac:dyDescent="0.25">
      <c r="A27" s="36">
        <v>17</v>
      </c>
      <c r="B27" s="28" t="s">
        <v>66</v>
      </c>
      <c r="C27" s="28" t="s">
        <v>67</v>
      </c>
      <c r="D27" s="27"/>
    </row>
    <row r="28" spans="1:4" ht="240.75" customHeight="1" x14ac:dyDescent="0.25">
      <c r="A28" s="36">
        <v>18</v>
      </c>
      <c r="B28" s="28" t="s">
        <v>68</v>
      </c>
      <c r="C28" s="33" t="s">
        <v>69</v>
      </c>
      <c r="D28" s="27"/>
    </row>
    <row r="29" spans="1:4" ht="65.25" customHeight="1" x14ac:dyDescent="0.25">
      <c r="A29" s="36">
        <v>19</v>
      </c>
      <c r="B29" s="28" t="s">
        <v>59</v>
      </c>
      <c r="C29" s="28" t="s">
        <v>60</v>
      </c>
      <c r="D29" s="27"/>
    </row>
    <row r="30" spans="1:4" ht="48.75" customHeight="1" x14ac:dyDescent="0.25">
      <c r="A30" s="36">
        <v>20</v>
      </c>
      <c r="B30" s="28" t="s">
        <v>61</v>
      </c>
      <c r="C30" s="28" t="s">
        <v>62</v>
      </c>
      <c r="D30" s="27"/>
    </row>
    <row r="31" spans="1:4" ht="69.75" customHeight="1" x14ac:dyDescent="0.25">
      <c r="A31" s="36">
        <v>21</v>
      </c>
      <c r="B31" s="28" t="s">
        <v>63</v>
      </c>
      <c r="C31" s="28" t="s">
        <v>64</v>
      </c>
      <c r="D31" s="27"/>
    </row>
    <row r="32" spans="1:4" ht="196.5" customHeight="1" x14ac:dyDescent="0.25">
      <c r="A32" s="36">
        <v>22</v>
      </c>
      <c r="B32" s="28" t="s">
        <v>70</v>
      </c>
      <c r="C32" s="28" t="s">
        <v>71</v>
      </c>
      <c r="D32" s="27"/>
    </row>
    <row r="33" spans="1:4" ht="36" customHeight="1" x14ac:dyDescent="0.25">
      <c r="A33" s="36">
        <v>23</v>
      </c>
      <c r="B33" s="28" t="s">
        <v>72</v>
      </c>
      <c r="C33" s="28" t="s">
        <v>73</v>
      </c>
      <c r="D33" s="27"/>
    </row>
    <row r="34" spans="1:4" ht="63" x14ac:dyDescent="0.25">
      <c r="A34" s="37">
        <v>24</v>
      </c>
      <c r="B34" s="32" t="s">
        <v>74</v>
      </c>
      <c r="C34" s="34">
        <f>'Осн. параметры '!C8</f>
        <v>46232</v>
      </c>
      <c r="D34" s="27"/>
    </row>
    <row r="35" spans="1:4" ht="37.5" customHeight="1" x14ac:dyDescent="0.25">
      <c r="A35" s="36">
        <v>25</v>
      </c>
      <c r="B35" s="28" t="s">
        <v>75</v>
      </c>
      <c r="C35" s="28" t="s">
        <v>76</v>
      </c>
      <c r="D35" s="27"/>
    </row>
    <row r="36" spans="1:4" ht="92.25" customHeight="1" x14ac:dyDescent="0.25">
      <c r="A36" s="38">
        <v>26</v>
      </c>
      <c r="B36" s="35" t="s">
        <v>77</v>
      </c>
      <c r="C36" s="35" t="s">
        <v>78</v>
      </c>
      <c r="D36" s="27"/>
    </row>
    <row r="37" spans="1:4" ht="30.75" customHeight="1" x14ac:dyDescent="0.25">
      <c r="A37" s="36">
        <v>27</v>
      </c>
      <c r="B37" s="28" t="s">
        <v>79</v>
      </c>
      <c r="C37" s="28" t="s">
        <v>80</v>
      </c>
      <c r="D37" s="27"/>
    </row>
    <row r="38" spans="1:4" ht="100.5" customHeight="1" x14ac:dyDescent="0.25">
      <c r="A38" s="36">
        <v>28</v>
      </c>
      <c r="B38" s="28" t="s">
        <v>81</v>
      </c>
      <c r="C38" s="28" t="s">
        <v>82</v>
      </c>
      <c r="D38" s="27"/>
    </row>
    <row r="41" spans="1:4" x14ac:dyDescent="0.25">
      <c r="A41" s="39"/>
      <c r="B41" s="23" t="s">
        <v>83</v>
      </c>
    </row>
    <row r="42" spans="1:4" x14ac:dyDescent="0.25">
      <c r="A42" s="40"/>
      <c r="B42" s="24" t="s">
        <v>84</v>
      </c>
    </row>
    <row r="43" spans="1:4" x14ac:dyDescent="0.25">
      <c r="A43" s="41"/>
      <c r="B43" s="25" t="s">
        <v>85</v>
      </c>
    </row>
    <row r="44" spans="1:4" x14ac:dyDescent="0.25">
      <c r="A44" s="40"/>
      <c r="B44" s="24" t="s">
        <v>86</v>
      </c>
    </row>
    <row r="45" spans="1:4" x14ac:dyDescent="0.25">
      <c r="A45" s="40"/>
      <c r="B45" s="24" t="s">
        <v>87</v>
      </c>
    </row>
  </sheetData>
  <mergeCells count="8">
    <mergeCell ref="A18:A21"/>
    <mergeCell ref="A22:A26"/>
    <mergeCell ref="D22:D26"/>
    <mergeCell ref="D18:D21"/>
    <mergeCell ref="B18:B21"/>
    <mergeCell ref="C18:C21"/>
    <mergeCell ref="B22:B26"/>
    <mergeCell ref="C22:C26"/>
  </mergeCells>
  <dataValidations disablePrompts="1" count="1">
    <dataValidation type="list" allowBlank="1" showInputMessage="1" showErrorMessage="1" sqref="I10" xr:uid="{40A62A75-F9B6-4DBE-A881-AD2F3020DF04}">
      <formula1>"Коробка,Генподряд"</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3A26B51C-EC8A-4B64-8A99-FDDBFC5584FC}">
            <xm:f>IF($I$9='Сущ. условия  (текст)'!$D$4,"+'Сущ. условия  (2)'!$E$2")</xm:f>
            <x14:dxf/>
          </x14:cfRule>
          <xm:sqref>D11</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B3090D13-CD24-4AA2-AD8C-969CB61FF91D}">
          <x14:formula1>
            <xm:f>'Сущ. условия  (текст)'!$D$4:$D$11</xm:f>
          </x14:formula1>
          <xm:sqref>I9</xm:sqref>
        </x14:dataValidation>
        <x14:dataValidation type="list" allowBlank="1" showInputMessage="1" showErrorMessage="1" xr:uid="{B3BAC322-F1DB-46DD-AC1D-EF5C470AF4D0}">
          <x14:formula1>
            <xm:f>'Сущ. условия  (текст)'!$D$14:$D$17</xm:f>
          </x14:formula1>
          <xm:sqref>I11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32882-9032-4C9C-AA3A-94E0508AEED4}">
  <dimension ref="A1:I38"/>
  <sheetViews>
    <sheetView topLeftCell="A26" zoomScale="85" zoomScaleNormal="85" workbookViewId="0">
      <selection activeCell="B35" sqref="B35"/>
    </sheetView>
  </sheetViews>
  <sheetFormatPr defaultRowHeight="15" x14ac:dyDescent="0.25"/>
  <cols>
    <col min="1" max="1" width="20" style="1" customWidth="1"/>
    <col min="2" max="2" width="43.5703125" customWidth="1"/>
    <col min="3" max="3" width="200.140625" customWidth="1"/>
    <col min="4" max="4" width="108.140625" customWidth="1"/>
    <col min="7" max="7" width="24.140625" customWidth="1"/>
    <col min="8" max="8" width="36" customWidth="1"/>
    <col min="9" max="9" width="25.5703125" customWidth="1"/>
  </cols>
  <sheetData>
    <row r="1" spans="1:9" ht="40.5" customHeight="1" x14ac:dyDescent="0.3">
      <c r="A1" s="46" t="s">
        <v>90</v>
      </c>
    </row>
    <row r="2" spans="1:9" ht="40.5" customHeight="1" x14ac:dyDescent="0.25"/>
    <row r="3" spans="1:9" ht="63" customHeight="1" x14ac:dyDescent="0.25">
      <c r="A3" s="26" t="s">
        <v>40</v>
      </c>
      <c r="B3" s="26" t="s">
        <v>37</v>
      </c>
      <c r="C3" s="26" t="s">
        <v>38</v>
      </c>
      <c r="D3" s="26" t="s">
        <v>39</v>
      </c>
    </row>
    <row r="4" spans="1:9" ht="25.5" customHeight="1" x14ac:dyDescent="0.25">
      <c r="A4" s="36">
        <v>1</v>
      </c>
      <c r="B4" s="28" t="s">
        <v>36</v>
      </c>
      <c r="C4" s="28" t="s">
        <v>92</v>
      </c>
      <c r="D4" s="27"/>
    </row>
    <row r="5" spans="1:9" ht="25.5" customHeight="1" x14ac:dyDescent="0.25">
      <c r="A5" s="36">
        <v>2</v>
      </c>
      <c r="B5" s="28" t="s">
        <v>34</v>
      </c>
      <c r="C5" s="28" t="s">
        <v>93</v>
      </c>
      <c r="D5" s="27"/>
    </row>
    <row r="6" spans="1:9" ht="31.5" x14ac:dyDescent="0.25">
      <c r="A6" s="36">
        <v>3</v>
      </c>
      <c r="B6" s="28" t="s">
        <v>33</v>
      </c>
      <c r="C6" s="29" t="s">
        <v>94</v>
      </c>
      <c r="D6" s="27"/>
    </row>
    <row r="7" spans="1:9" ht="99" customHeight="1" x14ac:dyDescent="0.25">
      <c r="A7" s="36">
        <v>4</v>
      </c>
      <c r="B7" s="28" t="s">
        <v>20</v>
      </c>
      <c r="C7" s="29" t="s">
        <v>95</v>
      </c>
      <c r="D7" s="27"/>
      <c r="H7" s="2"/>
    </row>
    <row r="8" spans="1:9" ht="179.25" customHeight="1" x14ac:dyDescent="0.25">
      <c r="A8" s="36">
        <v>5</v>
      </c>
      <c r="B8" s="28" t="s">
        <v>0</v>
      </c>
      <c r="C8" s="30" t="str" cm="1">
        <f t="array" ref="C8">_xlfn.SWITCH('Осн. параметры '!C13,'Сущ. условия  (текст)'!D35,'Сущ. условия  (текст)'!E35,'Сущ. условия  (текст)'!D36,'Сущ. условия  (текст)'!E36)</f>
        <v>В стоимости Работ учтен рост стоимости материалов 5%. В случае, если рыночная цена изменится по отношению к базовой стоимости материалов (БСМ) (Приложение №6), актуальной на 30.07.2026, более, чем на 5%, то с 6% будет проведен перерасчет стоимости ресурсов между Заказчиком и Генеральным подрядчиком по Методике, изложенной в Приложении №5. Данный процесс предусматривает согласование новых цен и оформление  Протоколов изменений, которые могут повлечь за собой корректировку стоимости в рамках договора.</v>
      </c>
      <c r="D8" s="27"/>
    </row>
    <row r="9" spans="1:9" ht="159" customHeight="1" x14ac:dyDescent="0.25">
      <c r="A9" s="36">
        <v>6</v>
      </c>
      <c r="B9" s="28" t="s">
        <v>1</v>
      </c>
      <c r="C9" s="30" t="str" cm="1">
        <f t="array" ref="C9">_xlfn.SWITCH('Осн. параметры '!C13,'Сущ. условия  (текст)'!D35,'Сущ. условия  (текст)'!F35,'Сущ. условия  (текст)'!D36,'Сущ. условия  (текст)'!F36)</f>
        <v>1. Методика удорожания/удешевления стоимости материалов, в БСМ бетон и арматура, коридор 5%.
2. Внесение изменений в П, РД, ТЗ, Ведомость объемов работ и Приложения к Договору.
3. По мере выхода РД, сверка/уточнение объемов, в случае увеличения/уменьшения - стороны подписывают ДС.
4. В случае изменения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v>
      </c>
      <c r="D9" s="31"/>
    </row>
    <row r="10" spans="1:9" ht="24" customHeight="1" x14ac:dyDescent="0.25">
      <c r="A10" s="36">
        <v>7</v>
      </c>
      <c r="B10" s="28" t="s">
        <v>37</v>
      </c>
      <c r="C10" s="30" t="str">
        <f>'Сущ. условия  (текст)'!E40</f>
        <v>Срок выполнения работ составляет  24 мес. до Итогового Акта и 3 мес. на передачу объекта.</v>
      </c>
      <c r="D10" s="27"/>
    </row>
    <row r="11" spans="1:9" ht="69" customHeight="1" x14ac:dyDescent="0.25">
      <c r="A11" s="36">
        <v>8</v>
      </c>
      <c r="B11" s="28" t="s">
        <v>47</v>
      </c>
      <c r="C11" s="30" t="s">
        <v>101</v>
      </c>
      <c r="D11" s="27"/>
    </row>
    <row r="12" spans="1:9" ht="82.5" customHeight="1" x14ac:dyDescent="0.25">
      <c r="A12" s="36">
        <v>9</v>
      </c>
      <c r="B12" s="28" t="s">
        <v>49</v>
      </c>
      <c r="C12" s="30" t="s">
        <v>102</v>
      </c>
      <c r="D12" s="27"/>
      <c r="I12" s="20"/>
    </row>
    <row r="13" spans="1:9" ht="63" x14ac:dyDescent="0.25">
      <c r="A13" s="36">
        <v>10</v>
      </c>
      <c r="B13" s="28" t="s">
        <v>51</v>
      </c>
      <c r="C13" s="30" t="s">
        <v>103</v>
      </c>
      <c r="D13" s="27"/>
      <c r="H13" s="2"/>
    </row>
    <row r="14" spans="1:9" ht="39" customHeight="1" x14ac:dyDescent="0.25">
      <c r="A14" s="36">
        <v>11</v>
      </c>
      <c r="B14" s="28" t="s">
        <v>55</v>
      </c>
      <c r="C14" s="30" t="s">
        <v>104</v>
      </c>
      <c r="D14" s="27"/>
    </row>
    <row r="15" spans="1:9" x14ac:dyDescent="0.25">
      <c r="A15" s="59" t="s">
        <v>111</v>
      </c>
      <c r="B15" s="57" t="s">
        <v>57</v>
      </c>
      <c r="C15" s="60"/>
      <c r="D15" s="61"/>
    </row>
    <row r="16" spans="1:9" x14ac:dyDescent="0.25">
      <c r="A16" s="59"/>
      <c r="B16" s="57"/>
      <c r="C16" s="60"/>
      <c r="D16" s="61"/>
    </row>
    <row r="17" spans="1:4" x14ac:dyDescent="0.25">
      <c r="A17" s="59"/>
      <c r="B17" s="57"/>
      <c r="C17" s="60"/>
      <c r="D17" s="61"/>
    </row>
    <row r="18" spans="1:4" x14ac:dyDescent="0.25">
      <c r="A18" s="59"/>
      <c r="B18" s="57"/>
      <c r="C18" s="60"/>
      <c r="D18" s="61"/>
    </row>
    <row r="19" spans="1:4" x14ac:dyDescent="0.25">
      <c r="A19" s="59" t="s">
        <v>112</v>
      </c>
      <c r="B19" s="57" t="s">
        <v>58</v>
      </c>
      <c r="C19" s="60"/>
      <c r="D19" s="61"/>
    </row>
    <row r="20" spans="1:4" x14ac:dyDescent="0.25">
      <c r="A20" s="59"/>
      <c r="B20" s="57"/>
      <c r="C20" s="60"/>
      <c r="D20" s="61"/>
    </row>
    <row r="21" spans="1:4" x14ac:dyDescent="0.25">
      <c r="A21" s="59"/>
      <c r="B21" s="57"/>
      <c r="C21" s="60"/>
      <c r="D21" s="61"/>
    </row>
    <row r="22" spans="1:4" x14ac:dyDescent="0.25">
      <c r="A22" s="59"/>
      <c r="B22" s="57"/>
      <c r="C22" s="60"/>
      <c r="D22" s="61"/>
    </row>
    <row r="23" spans="1:4" x14ac:dyDescent="0.25">
      <c r="A23" s="59"/>
      <c r="B23" s="57"/>
      <c r="C23" s="60"/>
      <c r="D23" s="61"/>
    </row>
    <row r="24" spans="1:4" ht="59.25" customHeight="1" x14ac:dyDescent="0.25">
      <c r="A24" s="36" t="s">
        <v>113</v>
      </c>
      <c r="B24" s="28" t="s">
        <v>66</v>
      </c>
      <c r="C24" s="44" t="s">
        <v>105</v>
      </c>
      <c r="D24" s="27"/>
    </row>
    <row r="25" spans="1:4" ht="240.75" customHeight="1" x14ac:dyDescent="0.25">
      <c r="A25" s="36" t="s">
        <v>114</v>
      </c>
      <c r="B25" s="28" t="s">
        <v>109</v>
      </c>
      <c r="C25" s="45" t="s">
        <v>106</v>
      </c>
      <c r="D25" s="27"/>
    </row>
    <row r="26" spans="1:4" ht="69.75" customHeight="1" x14ac:dyDescent="0.25">
      <c r="A26" s="36" t="s">
        <v>115</v>
      </c>
      <c r="B26" s="28" t="s">
        <v>110</v>
      </c>
      <c r="C26" s="44" t="s">
        <v>64</v>
      </c>
      <c r="D26" s="27"/>
    </row>
    <row r="27" spans="1:4" ht="36" customHeight="1" x14ac:dyDescent="0.25">
      <c r="A27" s="36" t="s">
        <v>116</v>
      </c>
      <c r="B27" s="28" t="s">
        <v>72</v>
      </c>
      <c r="C27" s="44" t="s">
        <v>73</v>
      </c>
      <c r="D27" s="27"/>
    </row>
    <row r="28" spans="1:4" ht="63" x14ac:dyDescent="0.25">
      <c r="A28" s="36" t="s">
        <v>117</v>
      </c>
      <c r="B28" s="32" t="s">
        <v>74</v>
      </c>
      <c r="C28" s="34">
        <f>'Осн. параметры '!C17</f>
        <v>46233</v>
      </c>
      <c r="D28" s="27"/>
    </row>
    <row r="29" spans="1:4" ht="15.75" x14ac:dyDescent="0.25">
      <c r="A29" s="36" t="s">
        <v>118</v>
      </c>
      <c r="B29" s="28" t="s">
        <v>75</v>
      </c>
      <c r="C29" s="44" t="s">
        <v>107</v>
      </c>
      <c r="D29" s="27"/>
    </row>
    <row r="30" spans="1:4" ht="63" x14ac:dyDescent="0.25">
      <c r="A30" s="36" t="s">
        <v>119</v>
      </c>
      <c r="B30" s="35" t="s">
        <v>77</v>
      </c>
      <c r="C30" s="35" t="s">
        <v>78</v>
      </c>
      <c r="D30" s="27"/>
    </row>
    <row r="31" spans="1:4" ht="30.75" customHeight="1" x14ac:dyDescent="0.25">
      <c r="A31" s="36" t="s">
        <v>120</v>
      </c>
      <c r="B31" s="28" t="s">
        <v>108</v>
      </c>
      <c r="C31" s="28" t="s">
        <v>80</v>
      </c>
      <c r="D31" s="27"/>
    </row>
    <row r="32" spans="1:4" ht="63" x14ac:dyDescent="0.25">
      <c r="A32" s="36" t="s">
        <v>121</v>
      </c>
      <c r="B32" s="28" t="s">
        <v>81</v>
      </c>
      <c r="C32" s="28" t="s">
        <v>123</v>
      </c>
      <c r="D32" s="27"/>
    </row>
    <row r="35" spans="1:2" x14ac:dyDescent="0.25">
      <c r="A35" s="39"/>
      <c r="B35" s="23" t="s">
        <v>83</v>
      </c>
    </row>
    <row r="36" spans="1:2" x14ac:dyDescent="0.25">
      <c r="A36" s="40"/>
      <c r="B36" s="24" t="s">
        <v>84</v>
      </c>
    </row>
    <row r="37" spans="1:2" x14ac:dyDescent="0.25">
      <c r="A37" s="41"/>
      <c r="B37" s="25" t="s">
        <v>85</v>
      </c>
    </row>
    <row r="38" spans="1:2" x14ac:dyDescent="0.25">
      <c r="A38" s="40"/>
      <c r="B38" s="24" t="s">
        <v>122</v>
      </c>
    </row>
  </sheetData>
  <mergeCells count="8">
    <mergeCell ref="A15:A18"/>
    <mergeCell ref="B15:B18"/>
    <mergeCell ref="C15:C18"/>
    <mergeCell ref="D15:D18"/>
    <mergeCell ref="A19:A23"/>
    <mergeCell ref="B19:B23"/>
    <mergeCell ref="C19:C23"/>
    <mergeCell ref="D19:D23"/>
  </mergeCells>
  <phoneticPr fontId="12" type="noConversion"/>
  <dataValidations disablePrompts="1" count="1">
    <dataValidation type="list" allowBlank="1" showInputMessage="1" showErrorMessage="1" sqref="I8" xr:uid="{A0C06D7F-07B4-4B82-8F11-055E4FF9BE5E}">
      <formula1>"Коробка,Генподряд"</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8B7E072E-E52D-4B73-9B11-738465999128}">
            <xm:f>IF($I$7='Сущ. условия  (текст)'!$D$4,"+'Сущ. условия  (2)'!$E$2")</xm:f>
            <x14:dxf/>
          </x14:cfRule>
          <xm:sqref>D9</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084BC6A6-3E67-4E20-A8CC-461691346031}">
          <x14:formula1>
            <xm:f>'Сущ. условия  (текст)'!$D$14:$D$17</xm:f>
          </x14:formula1>
          <xm:sqref>I9</xm:sqref>
        </x14:dataValidation>
        <x14:dataValidation type="list" allowBlank="1" showInputMessage="1" showErrorMessage="1" xr:uid="{B2949819-7425-45BC-9909-55109B9194D2}">
          <x14:formula1>
            <xm:f>'Сущ. условия  (текст)'!$D$4:$D$11</xm:f>
          </x14:formula1>
          <xm:sqref>I7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BB86-F373-4771-BB86-FCF7E18A678B}">
  <dimension ref="D1:F46"/>
  <sheetViews>
    <sheetView zoomScale="85" zoomScaleNormal="85" workbookViewId="0">
      <selection activeCell="E32" sqref="E32"/>
    </sheetView>
  </sheetViews>
  <sheetFormatPr defaultRowHeight="15" x14ac:dyDescent="0.25"/>
  <cols>
    <col min="4" max="4" width="27.85546875" style="3" customWidth="1"/>
    <col min="5" max="5" width="123" customWidth="1"/>
    <col min="6" max="6" width="108.85546875" customWidth="1"/>
  </cols>
  <sheetData>
    <row r="1" spans="4:6" ht="117" customHeight="1" x14ac:dyDescent="1.35">
      <c r="E1" s="43" t="s">
        <v>97</v>
      </c>
    </row>
    <row r="3" spans="4:6" ht="15.75" thickBot="1" x14ac:dyDescent="0.3">
      <c r="E3" t="s">
        <v>1</v>
      </c>
      <c r="F3" t="s">
        <v>18</v>
      </c>
    </row>
    <row r="4" spans="4:6" ht="120" x14ac:dyDescent="0.25">
      <c r="D4" s="6" t="s">
        <v>2</v>
      </c>
      <c r="E4" s="7" t="str">
        <f>"Компенсация роста стоимости материалов выполняется по следующему механизму: 
В стоимости Работ не учтен рост стоимости материалов. В случае, если рыночная цена изменится по отношению к базовой стоимости материалов (БСМ) (Приложение №5), актуальной на " &amp; TEXT('Осн. параметры '!C8,"ДД.ММ.ГГГГ") &amp; " года, будет проведен перерасчет стоимости ресурсов между Заказчиком и Генеральным подрядчиком по Методике, изложенной в Приложении №4. Данный процесс предусматривает согласование новых цен и оформление Протоколов изменений, " &amp; "которые могут повлечь за собой корректировку стоимости в рамках договора."</f>
        <v>Компенсация роста стоимости материалов выполняется по следующему механизму: 
В стоимости Работ не учтен рост стоимости материалов. В случае, если рыночная цена изменится по отношению к базовой стоимости материалов (БСМ) (Приложение №5), актуальной на 29.07.2026 года, будет проведен перерасчет стоимости ресурсов между Заказчиком и Генеральным подрядчиком по Методике, изложенной в Приложении №4. Данный процесс предусматривает согласование новых цен и оформление Протоколов изменений, которые могут повлечь за собой корректировку стоимости в рамках договора.</v>
      </c>
      <c r="F4" s="15" t="s">
        <v>19</v>
      </c>
    </row>
    <row r="5" spans="4:6" ht="120" x14ac:dyDescent="0.25">
      <c r="D5" s="9" t="s">
        <v>3</v>
      </c>
      <c r="E5" s="10" t="str">
        <f>"Компенсация роста стоимости материалов выполняется по следующему механизму: 
В стоимости Работ учтен рост стоимости материалов 5%. В случае, если рыночная цена изменится по отношению к базовой стоимости материалов (БСМ) (Приложение №5), актуальной на " &amp; TEXT('Осн. параметры '!C8,"ДД.ММ.ГГГГ") &amp; " года, более, чем на 5%, то с 6% будет проведен перерасчет стоимости ресурсов между Заказчиком и Генеральным подрядчиком по Методике, изложенной в Приложении №4. " &amp; "Данный процесс предусматривает согласование новых цен и оформление Протоколов изменений, которые могут повлечь за собой корректировку стоимости в рамках договора."</f>
        <v>Компенсация роста стоимости материалов выполняется по следующему механизму: 
В стоимости Работ учтен рост стоимости материалов 5%. В случае, если рыночная цена изменится по отношению к базовой стоимости материалов (БСМ) (Приложение №5), актуальной на 29.07.2026 года, более, чем на 5%, то с 6% будет проведен перерасчет стоимости ресурсов между Заказчиком и Генеральным подрядчиком по Методике, изложенной в Приложении №4. Данный процесс предусматривает согласование новых цен и оформление Протоколов изменений, которые могут повлечь за собой корректировку стоимости в рамках договора.</v>
      </c>
      <c r="F5" s="16" t="s">
        <v>14</v>
      </c>
    </row>
    <row r="6" spans="4:6" ht="135" x14ac:dyDescent="0.25">
      <c r="D6" s="9" t="s">
        <v>4</v>
      </c>
      <c r="E6" s="10" t="s">
        <v>11</v>
      </c>
      <c r="F6" s="16" t="str">
        <f>"1. Компенсация предусматривает индексацию стоимости фактически выполненных и принятых Работ на уровень накопленной инфляции по Росстату, начиная с " &amp; TEXT('Осн. параметры '!C8, "ММ.ГГГГ ""г.""") &amp; " 
2. Внесения Заказчиком по своей инициативе изменений в " &amp;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 &amp; "
3.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 &amp; "финансирования соответствующих работ, а стоимость не профинансированных работ подлежит изменению с учетом новой ставки НДС " &amp; "посредством подписания дополнительного соглашения к настоящему Договору"</f>
        <v>1. Компенсация предусматривает индексацию стоимости фактически выполненных и принятых Работ на уровень накопленной инфляции по Росстату, начиная с 07.2026 г. 
2.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3.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v>
      </c>
    </row>
    <row r="7" spans="4:6" ht="135" x14ac:dyDescent="0.25">
      <c r="D7" s="9" t="s">
        <v>5</v>
      </c>
      <c r="E7" s="10" t="s">
        <v>10</v>
      </c>
      <c r="F7" s="16" t="str">
        <f>"1. Компенсация предусматривает индексацию стоимости фактически выполненных и принятых Работ на уровень накопленной инфляции по Росстату, превышающей 5%, начиная с " &amp; TEXT('Осн. параметры '!C8, "ММ.ГГГГ ""г.""") &amp; " 
2. Внесения Заказчиком по своей инициативе изменений в " &amp;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 &amp; "
3.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 &amp; "финансирования соответствующих работ, а стоимость не профинансированных работ подлежит изменению с учетом новой ставки НДС " &amp; "посредством подписания дополнительного соглашения к настоящему Договору"</f>
        <v>1. Компенсация предусматривает индексацию стоимости фактически выполненных и принятых Работ на уровень накопленной инфляции по Росстату, превышающей 5%, начиная с 07.2026 г. 
2.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3.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v>
      </c>
    </row>
    <row r="8" spans="4:6" ht="180" x14ac:dyDescent="0.25">
      <c r="D8" s="9" t="s">
        <v>6</v>
      </c>
      <c r="E8" s="10" t="s">
        <v>12</v>
      </c>
      <c r="F8" s="16" t="str">
        <f>"1. Рост стоимости материалов БСМ более 0%. Компенсация производится с 1-ого процента. 
2. Компенсация предусматривает индексацию стоимости фактически выполненных и принятых Работ на уровень накопленной инфляции по Росстату, начиная с " &amp; TEXT('Осн. параметры '!C8, "ММ.ГГГГ ""г.""") &amp; ", без учета материалов БСМ. " &amp; "
3. Внесения Заказчиком по своей инициативе изменений в Проектную документацию и/или Рабочую документацию и/или Техническое задание и/или Дизайн проект, " &amp; "Вендор лист предусматривающих изменение объема, состава и/или содержания Работ и/или наименование материала. 4. В случае изменения ставки НДС, " &amp; "стоимость профинансированных (в т.ч. посредством оплаты авансовых платежей) работ рассчитывается по ставке НДС, действовавшей на дату " &amp; "финансирования соответствующих работ, а стоимость не профинансированных работ подлежит изменению с учетом новой ставки НДС " &amp; "посредством подписания дополнительного соглашения к настоящему Договору"</f>
        <v>1. Рост стоимости материалов БСМ более 0%. Компенсация производится с 1-ого процента. 
2. Компенсация предусматривает индексацию стоимости фактически выполненных и принятых Работ на уровень накопленной инфляции по Росстату, начиная с 07.2026 г., без учета материалов БСМ. 
3.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4.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v>
      </c>
    </row>
    <row r="9" spans="4:6" ht="180" x14ac:dyDescent="0.25">
      <c r="D9" s="9" t="s">
        <v>7</v>
      </c>
      <c r="E9" s="10" t="s">
        <v>12</v>
      </c>
      <c r="F9" s="16" t="str">
        <f>"1. Рост стоимости материалов БСМ более 5%. Компенсация производится с 6-ого процента. 
2. Компенсация предусматривает индексацию стоимости фактически выполненных и принятых Работ на уровень накопленной инфляции по Росстату, начиная с " &amp; TEXT('Осн. параметры '!C8, "ММ.ГГГГ ""г.""") &amp; ", без учета материалов БСМ. " &amp; "
3. Внесения Заказчиком по своей инициативе изменений в Проектную документацию и/или Рабочую документацию и/или Техническое задание и/или Дизайн проект, " &amp; "Вендор лист предусматривающих изменение объема, состава и/или содержания Работ и/или наименование материала. " &amp; "
4. В случае изменения ставки НДС, стоимость профинансированных (в т.ч. посредством оплаты авансовых платежей) работ рассчитывается по ставке НДС, " &amp; "действовавшей на дату финансирования соответствующих работ, а стоимость не профинансированных работ подлежит изменению с учетом новой ставки НДС " &amp; "посредством подписания дополнительного соглашения к настоящему Договору"</f>
        <v>1. Рост стоимости материалов БСМ более 5%. Компенсация производится с 6-ого процента. 
2. Компенсация предусматривает индексацию стоимости фактически выполненных и принятых Работ на уровень накопленной инфляции по Росстату, начиная с 07.2026 г., без учета материалов БСМ. 
3.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4.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v>
      </c>
    </row>
    <row r="10" spans="4:6" ht="180" x14ac:dyDescent="0.25">
      <c r="D10" s="9" t="s">
        <v>8</v>
      </c>
      <c r="E10" s="10" t="s">
        <v>13</v>
      </c>
      <c r="F10" s="16" t="str">
        <f>"1. Рост стоимости материалов БСМ более 0%. Компенсация производится с 1-ого процента." &amp; CHAR(10) &amp; "2. Компенсация предусматривает индексацию стоимости фактически выполненных и принятых Работ на уровень накопленной инфляции по Росстату, превышающей 5%, начиная с " &amp; TEXT('Осн. параметры '!C8, "ММ.ГГГГ ""г.""") &amp; ", без учета материалов БСМ." &amp; CHAR(10) &amp; "3. Внесения Заказчиком по своей инициативе изменений в Проектную документацию и/или Рабочую документацию и/или Техническое задание и/или Дизайн проект, " &amp; "Вендор лист предусматривающих изменение объема, состава и/или содержания Работ и/или наименование материала." &amp; CHAR(10) &amp; "4. В случае изменения ставки НДС, стоимость профинансированных (в т.ч. посредством оплаты авансовых платежей) работ рассчитывается по ставке НДС, " &amp;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 &amp; "дополнительного соглашения к настоящему Договору"</f>
        <v>1. Рост стоимости материалов БСМ более 0%. Компенсация производится с 1-ого процента.
2. Компенсация предусматривает индексацию стоимости фактически выполненных и принятых Работ на уровень накопленной инфляции по Росстату, превышающей 5%, начиная с 07.2026 г., без учета материалов БСМ.
3.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4.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v>
      </c>
    </row>
    <row r="11" spans="4:6" ht="180.75" thickBot="1" x14ac:dyDescent="0.3">
      <c r="D11" s="12" t="s">
        <v>9</v>
      </c>
      <c r="E11" s="17" t="s">
        <v>13</v>
      </c>
      <c r="F11" s="18" t="str">
        <f>"1. Рост стоимости материалов БСМ более 5%. Компенсация производится с 6-ого процента." &amp; CHAR(10) &amp; "2. Компенсация предусматривает индексацию стоимости фактически выполненных и принятых Работ на уровень накопленной инфляции по Росстату, превышающей 5%, начиная с " &amp; TEXT('Осн. параметры '!C8, "ММ.ГГГГ ""г.""") &amp; ", без учета материалов БСМ." &amp; CHAR(10) &amp; "3. Внесения Заказчиком по своей инициативе изменений в Проектную документацию и/или Рабочую документацию и/или Техническое задание и/или Дизайн проект, " &amp; "Вендор лист предусматривающих изменение объема, состава и/или содержания Работ и/или наименование материала." &amp; CHAR(10) &amp; "4. В случае изменения ставки НДС, стоимость профинансированных (в т.ч. посредством оплаты авансовых платежей) работ рассчитывается по ставке НДС, " &amp;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 &amp; "дополнительного соглашения к настоящему Договору"</f>
        <v>1. Рост стоимости материалов БСМ более 5%. Компенсация производится с 6-ого процента.
2. Компенсация предусматривает индексацию стоимости фактически выполненных и принятых Работ на уровень накопленной инфляции по Росстату, превышающей 5%, начиная с 07.2026 г., без учета материалов БСМ.
3. Внесения Заказчиком по своей инициативе изменений в Проектную документацию и/или Рабочую документацию и/или Техническое задание и/или Дизайн проект, Вендор лист предусматривающих изменение объема, состава и/или содержания Работ и/или наименование материала.
4. В случае изменения ставки НДС, стоимость профинансированных (в т.ч. посредством оплаты авансовых платежей) работ рассчитывается по ставке НДС, действовавшей на дату финансирования соответствующих работ, а стоимость не профинансированных работ подлежит изменению с учетом новой ставки НДС посредством подписания дополнительного соглашения к настоящему Договору</v>
      </c>
    </row>
    <row r="13" spans="4:6" ht="15.75" thickBot="1" x14ac:dyDescent="0.3"/>
    <row r="14" spans="4:6" ht="45" x14ac:dyDescent="0.25">
      <c r="D14" s="6" t="s">
        <v>22</v>
      </c>
      <c r="E14" s="7" t="s">
        <v>21</v>
      </c>
      <c r="F14" s="8"/>
    </row>
    <row r="15" spans="4:6" ht="45" x14ac:dyDescent="0.25">
      <c r="D15" s="9" t="s">
        <v>23</v>
      </c>
      <c r="E15" s="10" t="s">
        <v>24</v>
      </c>
      <c r="F15" s="11"/>
    </row>
    <row r="16" spans="4:6" ht="30" x14ac:dyDescent="0.25">
      <c r="D16" s="9" t="s">
        <v>26</v>
      </c>
      <c r="E16" s="10" t="s">
        <v>25</v>
      </c>
      <c r="F16" s="11"/>
    </row>
    <row r="17" spans="4:6" ht="15.75" thickBot="1" x14ac:dyDescent="0.3">
      <c r="D17" s="12" t="s">
        <v>27</v>
      </c>
      <c r="E17" s="13"/>
      <c r="F17" s="14"/>
    </row>
    <row r="19" spans="4:6" ht="15.75" thickBot="1" x14ac:dyDescent="0.3"/>
    <row r="20" spans="4:6" ht="30" x14ac:dyDescent="0.25">
      <c r="D20" s="6" t="s">
        <v>41</v>
      </c>
      <c r="E20" s="7" t="str">
        <f>"Срок выполнения работ составляет " &amp; 'Осн. параметры '!C6 &amp; " мес. до оформления Акта ЗОС и " &amp; 'Осн. параметры '!C7 &amp; " мес. на передачу объекта и подписание Итогового акта №3"</f>
        <v>Срок выполнения работ составляет 24 мес. до оформления Акта ЗОС и 3 мес. на передачу объекта и подписание Итогового акта №3</v>
      </c>
      <c r="F20" s="8"/>
    </row>
    <row r="21" spans="4:6" x14ac:dyDescent="0.25">
      <c r="D21" s="9"/>
      <c r="E21" s="22" t="s">
        <v>42</v>
      </c>
      <c r="F21" s="11"/>
    </row>
    <row r="22" spans="4:6" x14ac:dyDescent="0.25">
      <c r="D22" s="9"/>
      <c r="E22" s="22">
        <f>'Осн. параметры '!C6</f>
        <v>24</v>
      </c>
      <c r="F22" s="11"/>
    </row>
    <row r="23" spans="4:6" x14ac:dyDescent="0.25">
      <c r="D23" s="9"/>
      <c r="E23" s="22" t="s">
        <v>45</v>
      </c>
      <c r="F23" s="11"/>
    </row>
    <row r="24" spans="4:6" x14ac:dyDescent="0.25">
      <c r="D24" s="9"/>
      <c r="E24" s="22">
        <f>'Осн. параметры '!C7</f>
        <v>3</v>
      </c>
      <c r="F24" s="11"/>
    </row>
    <row r="25" spans="4:6" ht="55.5" customHeight="1" x14ac:dyDescent="0.25">
      <c r="D25" s="9"/>
      <c r="E25" s="22" t="s">
        <v>46</v>
      </c>
      <c r="F25" s="11"/>
    </row>
    <row r="26" spans="4:6" ht="40.5" customHeight="1" thickBot="1" x14ac:dyDescent="0.3">
      <c r="D26" s="12"/>
      <c r="E26" s="17" t="str">
        <f>CONCATENATE(E21,E22," ",E23," ",E24," ",E25)</f>
        <v>Срок выполнения работ составляет 24 мес. до оформления Акта ЗОС и 3 мес. на передачу объекта и подписание Итогового акта №3</v>
      </c>
      <c r="F26" s="14"/>
    </row>
    <row r="27" spans="4:6" x14ac:dyDescent="0.25">
      <c r="D27" s="21"/>
      <c r="E27" s="22"/>
    </row>
    <row r="28" spans="4:6" x14ac:dyDescent="0.25">
      <c r="D28" s="21"/>
      <c r="E28" s="22"/>
    </row>
    <row r="29" spans="4:6" x14ac:dyDescent="0.25">
      <c r="D29" s="21"/>
      <c r="E29" s="22"/>
    </row>
    <row r="30" spans="4:6" ht="15.75" x14ac:dyDescent="0.25">
      <c r="D30" s="5"/>
      <c r="E30" s="10"/>
    </row>
    <row r="31" spans="4:6" ht="92.25" x14ac:dyDescent="1.35">
      <c r="E31" s="43" t="s">
        <v>98</v>
      </c>
    </row>
    <row r="34" spans="4:6" ht="15.75" thickBot="1" x14ac:dyDescent="0.3"/>
    <row r="35" spans="4:6" ht="133.5" customHeight="1" x14ac:dyDescent="0.25">
      <c r="D35" s="6" t="s">
        <v>2</v>
      </c>
      <c r="E35" s="19" t="str">
        <f>"В стоимости Работ учтен рост стоимости материалов 0%. В случае, если рыночная цена изменится по отношению к базовой стоимости материалов (БСМ) (Приложение №6), актуальной на " &amp; TEXT('Осн. параметры '!C17,"ДД.ММ.ГГГГ") &amp; ", более, чем на 0%, то с 1% будет проведен перерасчет стоимости ресурсов между Заказчиком и Генеральным подрядчиком по Методике, изложенной в Приложении №5. Данный процесс предусматривает согласование новых цен и оформление " &amp; " Протоколов изменений, которые могут повлечь за собой корректировку стоимости в рамках договора."</f>
        <v>В стоимости Работ учтен рост стоимости материалов 0%. В случае, если рыночная цена изменится по отношению к базовой стоимости материалов (БСМ) (Приложение №6), актуальной на 30.07.2026, более, чем на 0%, то с 1% будет проведен перерасчет стоимости ресурсов между Заказчиком и Генеральным подрядчиком по Методике, изложенной в Приложении №5. Данный процесс предусматривает согласование новых цен и оформление  Протоколов изменений, которые могут повлечь за собой корректировку стоимости в рамках договора.</v>
      </c>
      <c r="F35" s="4" t="s">
        <v>99</v>
      </c>
    </row>
    <row r="36" spans="4:6" ht="138.75" customHeight="1" x14ac:dyDescent="0.25">
      <c r="D36" s="9" t="s">
        <v>3</v>
      </c>
      <c r="E36" s="19" t="str">
        <f>"В стоимости Работ учтен рост стоимости материалов 5%. В случае, если рыночная цена изменится по отношению к базовой стоимости материалов (БСМ) (Приложение №6), актуальной на " &amp; TEXT('Осн. параметры '!C17,"ДД.ММ.ГГГГ") &amp; ", более, чем на 5%, то с 6% будет проведен перерасчет стоимости ресурсов между Заказчиком и Генеральным подрядчиком по Методике, изложенной в Приложении №5. Данный процесс предусматривает согласование новых цен и оформление " &amp; " Протоколов изменений, которые могут повлечь за собой корректировку стоимости в рамках договора."</f>
        <v>В стоимости Работ учтен рост стоимости материалов 5%. В случае, если рыночная цена изменится по отношению к базовой стоимости материалов (БСМ) (Приложение №6), актуальной на 30.07.2026, более, чем на 5%, то с 6% будет проведен перерасчет стоимости ресурсов между Заказчиком и Генеральным подрядчиком по Методике, изложенной в Приложении №5. Данный процесс предусматривает согласование новых цен и оформление  Протоколов изменений, которые могут повлечь за собой корректировку стоимости в рамках договора.</v>
      </c>
      <c r="F36" s="4" t="s">
        <v>96</v>
      </c>
    </row>
    <row r="39" spans="4:6" ht="15.75" thickBot="1" x14ac:dyDescent="0.3"/>
    <row r="40" spans="4:6" x14ac:dyDescent="0.25">
      <c r="D40" s="6" t="s">
        <v>41</v>
      </c>
      <c r="E40" s="7" t="str">
        <f>"Срок выполнения работ составляет  " &amp; 'Осн. параметры '!C15 &amp; " мес. до Итогового Акта и " &amp; 'Осн. параметры '!C16 &amp; " мес. на передачу объекта."</f>
        <v>Срок выполнения работ составляет  24 мес. до Итогового Акта и 3 мес. на передачу объекта.</v>
      </c>
      <c r="F40" s="8" t="s">
        <v>100</v>
      </c>
    </row>
    <row r="41" spans="4:6" x14ac:dyDescent="0.25">
      <c r="D41" s="9"/>
      <c r="E41" s="22" t="s">
        <v>42</v>
      </c>
      <c r="F41" s="11"/>
    </row>
    <row r="42" spans="4:6" x14ac:dyDescent="0.25">
      <c r="D42" s="9"/>
      <c r="E42" s="22">
        <f>'Осн. параметры '!C26</f>
        <v>0</v>
      </c>
      <c r="F42" s="11"/>
    </row>
    <row r="43" spans="4:6" x14ac:dyDescent="0.25">
      <c r="D43" s="9"/>
      <c r="E43" s="22" t="s">
        <v>45</v>
      </c>
      <c r="F43" s="11"/>
    </row>
    <row r="44" spans="4:6" x14ac:dyDescent="0.25">
      <c r="D44" s="9"/>
      <c r="E44" s="22">
        <f>'Осн. параметры '!C27</f>
        <v>0</v>
      </c>
      <c r="F44" s="11"/>
    </row>
    <row r="45" spans="4:6" x14ac:dyDescent="0.25">
      <c r="D45" s="9"/>
      <c r="E45" s="22" t="s">
        <v>46</v>
      </c>
      <c r="F45" s="11"/>
    </row>
    <row r="46" spans="4:6" ht="30.75" thickBot="1" x14ac:dyDescent="0.3">
      <c r="D46" s="12"/>
      <c r="E46" s="17" t="str">
        <f>CONCATENATE(E41,E42," ",E43," ",E44," ",E45)</f>
        <v>Срок выполнения работ составляет 0 мес. до оформления Акта ЗОС и 0 мес. на передачу объекта и подписание Итогового акта №3</v>
      </c>
      <c r="F46" s="1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Осн. параметры </vt:lpstr>
      <vt:lpstr>Сущ. условия Генподряд</vt:lpstr>
      <vt:lpstr>Сущ. условия Подряд</vt:lpstr>
      <vt:lpstr>Сущ. условия  (текст)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Кузьмин Анатолий Аркадьевич</dc:creator>
  <cp:lastModifiedBy>Кузьмин Анатолий Аркадьевич</cp:lastModifiedBy>
  <dcterms:created xsi:type="dcterms:W3CDTF">2015-06-05T18:19:34Z</dcterms:created>
  <dcterms:modified xsi:type="dcterms:W3CDTF">2026-04-27T14:29:36Z</dcterms:modified>
</cp:coreProperties>
</file>